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!Docs\My\"/>
    </mc:Choice>
  </mc:AlternateContent>
  <xr:revisionPtr revIDLastSave="0" documentId="10_ncr:100000_{0E4160EF-2C41-421F-BD2D-00751826B3FC}" xr6:coauthVersionLast="31" xr6:coauthVersionMax="31" xr10:uidLastSave="{00000000-0000-0000-0000-000000000000}"/>
  <bookViews>
    <workbookView xWindow="0" yWindow="0" windowWidth="24000" windowHeight="13530" tabRatio="548" activeTab="3" xr2:uid="{00000000-000D-0000-FFFF-FFFF00000000}"/>
  </bookViews>
  <sheets>
    <sheet name="Swicher" sheetId="2" r:id="rId1"/>
    <sheet name="Keys" sheetId="5" r:id="rId2"/>
    <sheet name="Wave" sheetId="3" r:id="rId3"/>
    <sheet name="Machine" sheetId="1" r:id="rId4"/>
    <sheet name="Notes" sheetId="4" r:id="rId5"/>
  </sheets>
  <functionGroups builtInGroupCount="19"/>
  <definedNames>
    <definedName name="anset">Machine!$O$5</definedName>
    <definedName name="fullen">Machine!$G$11</definedName>
    <definedName name="halflen">Machine!$H$11</definedName>
    <definedName name="inlang">Machine!$AC$4</definedName>
    <definedName name="outlang">Machine!$AG$4</definedName>
    <definedName name="postfix">Machine!$N$12</definedName>
    <definedName name="prefix">Machine!$N$10</definedName>
    <definedName name="replet">Machine!$H$10</definedName>
    <definedName name="suffix">Machine!$N$11</definedName>
    <definedName name="workset">Machine!$O$3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B2" i="2"/>
  <c r="E25" i="2"/>
  <c r="D23" i="2"/>
  <c r="H12" i="1" l="1"/>
  <c r="H11" i="1"/>
  <c r="D30" i="2"/>
  <c r="D34" i="2"/>
  <c r="D25" i="2"/>
  <c r="E9" i="2"/>
  <c r="E7" i="2"/>
  <c r="E18" i="2"/>
  <c r="D36" i="2"/>
  <c r="D12" i="2"/>
  <c r="E32" i="2"/>
  <c r="E12" i="2"/>
  <c r="D21" i="2"/>
  <c r="D26" i="2"/>
  <c r="E26" i="2"/>
  <c r="D18" i="2"/>
  <c r="D13" i="2"/>
  <c r="E5" i="2"/>
  <c r="E8" i="2"/>
  <c r="E27" i="2"/>
  <c r="E24" i="2"/>
  <c r="E28" i="2"/>
  <c r="E13" i="2"/>
  <c r="E35" i="2"/>
  <c r="D3" i="2"/>
  <c r="D33" i="2"/>
  <c r="E17" i="2"/>
  <c r="E14" i="2"/>
  <c r="D32" i="2"/>
  <c r="D29" i="2"/>
  <c r="D11" i="2"/>
  <c r="E20" i="2"/>
  <c r="D5" i="2"/>
  <c r="D24" i="2"/>
  <c r="D22" i="2"/>
  <c r="E6" i="2"/>
  <c r="D10" i="2"/>
  <c r="E29" i="2"/>
  <c r="D17" i="2"/>
  <c r="D35" i="2"/>
  <c r="E19" i="2"/>
  <c r="E16" i="2"/>
  <c r="E4" i="2"/>
  <c r="D15" i="2"/>
  <c r="E3" i="2"/>
  <c r="D6" i="2"/>
  <c r="D9" i="2"/>
  <c r="E22" i="2"/>
  <c r="E10" i="2"/>
  <c r="E30" i="2"/>
  <c r="E15" i="2"/>
  <c r="D8" i="2"/>
  <c r="E36" i="2"/>
  <c r="D16" i="2"/>
  <c r="E21" i="2"/>
  <c r="E34" i="2"/>
  <c r="D19" i="2"/>
  <c r="E31" i="2"/>
  <c r="E33" i="2"/>
  <c r="D31" i="2"/>
  <c r="E11" i="2"/>
  <c r="D28" i="2"/>
  <c r="D14" i="2"/>
  <c r="E23" i="2"/>
  <c r="D27" i="2"/>
  <c r="D7" i="2"/>
  <c r="D4" i="2"/>
  <c r="D20" i="2"/>
  <c r="G10" i="1" l="1"/>
  <c r="AJ2" i="1"/>
  <c r="AK5" i="1"/>
  <c r="H10" i="1" l="1"/>
  <c r="O3" i="1" l="1"/>
  <c r="E33" i="3"/>
  <c r="J23" i="3"/>
  <c r="E9" i="3"/>
  <c r="E27" i="3"/>
  <c r="E21" i="3"/>
  <c r="E15" i="3"/>
  <c r="E41" i="3"/>
  <c r="E25" i="3"/>
  <c r="E26" i="3"/>
  <c r="E13" i="3"/>
  <c r="E36" i="3"/>
  <c r="E39" i="3"/>
  <c r="E7" i="3"/>
  <c r="E34" i="3"/>
  <c r="E11" i="3"/>
  <c r="E16" i="3"/>
  <c r="E19" i="3"/>
  <c r="E24" i="3"/>
  <c r="E38" i="3"/>
  <c r="E17" i="3"/>
  <c r="E30" i="3"/>
  <c r="E6" i="3"/>
  <c r="E28" i="3"/>
  <c r="E10" i="3"/>
  <c r="E18" i="3"/>
  <c r="E23" i="3"/>
  <c r="E29" i="3"/>
  <c r="E14" i="3"/>
  <c r="E20" i="3"/>
  <c r="E22" i="3"/>
  <c r="E43" i="3"/>
  <c r="E8" i="3"/>
  <c r="E35" i="3"/>
  <c r="E40" i="3"/>
  <c r="E12" i="3"/>
  <c r="E5" i="3"/>
  <c r="E37" i="3"/>
  <c r="E4" i="3"/>
  <c r="E31" i="3"/>
  <c r="E42" i="3"/>
  <c r="E32" i="3"/>
  <c r="F2" i="2" l="1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H2" i="2"/>
  <c r="AJ3" i="1"/>
  <c r="G4" i="3"/>
  <c r="J40" i="3"/>
  <c r="J13" i="3"/>
  <c r="J14" i="3"/>
  <c r="J39" i="3"/>
  <c r="J18" i="3"/>
  <c r="J9" i="3"/>
  <c r="J30" i="3"/>
  <c r="J20" i="3"/>
  <c r="J21" i="3"/>
  <c r="J27" i="3"/>
  <c r="J42" i="3"/>
  <c r="J32" i="3"/>
  <c r="J4" i="3"/>
  <c r="J12" i="3"/>
  <c r="J43" i="3"/>
  <c r="J15" i="3"/>
  <c r="J24" i="3"/>
  <c r="J29" i="3"/>
  <c r="J7" i="3"/>
  <c r="J11" i="3"/>
  <c r="J19" i="3"/>
  <c r="J8" i="3"/>
  <c r="J35" i="3"/>
  <c r="J25" i="3"/>
  <c r="J5" i="3"/>
  <c r="J22" i="3"/>
  <c r="J33" i="3"/>
  <c r="J31" i="3"/>
  <c r="J28" i="3"/>
  <c r="J10" i="3"/>
  <c r="J36" i="3"/>
  <c r="J17" i="3"/>
  <c r="J41" i="3"/>
  <c r="J26" i="3"/>
  <c r="J37" i="3"/>
  <c r="J34" i="3"/>
  <c r="J38" i="3"/>
  <c r="J16" i="3"/>
  <c r="J6" i="3"/>
  <c r="F35" i="2" l="1"/>
  <c r="F36" i="2" s="1"/>
  <c r="G5" i="3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H3" i="2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41" i="2" s="1"/>
  <c r="F37" i="2" l="1"/>
  <c r="O4" i="1" s="1"/>
  <c r="H35" i="2"/>
  <c r="AG6" i="1"/>
  <c r="C5" i="3"/>
  <c r="C34" i="3"/>
  <c r="C18" i="3"/>
  <c r="C22" i="3"/>
  <c r="C43" i="3"/>
  <c r="C16" i="3"/>
  <c r="C19" i="3"/>
  <c r="C7" i="3"/>
  <c r="C10" i="3"/>
  <c r="C12" i="3"/>
  <c r="C9" i="3"/>
  <c r="C38" i="3"/>
  <c r="C26" i="3"/>
  <c r="C4" i="3"/>
  <c r="C42" i="3"/>
  <c r="C13" i="3"/>
  <c r="C8" i="3"/>
  <c r="C17" i="3"/>
  <c r="C41" i="3"/>
  <c r="C37" i="3"/>
  <c r="C39" i="3"/>
  <c r="C30" i="3"/>
  <c r="C36" i="3"/>
  <c r="C20" i="3"/>
  <c r="C40" i="3"/>
  <c r="C14" i="3"/>
  <c r="C28" i="3"/>
  <c r="C27" i="3"/>
  <c r="C11" i="3"/>
  <c r="C21" i="3"/>
  <c r="O5" i="1"/>
  <c r="C23" i="3"/>
  <c r="C29" i="3"/>
  <c r="C24" i="3"/>
  <c r="C32" i="3"/>
  <c r="C31" i="3"/>
  <c r="C25" i="3"/>
  <c r="C33" i="3"/>
  <c r="C6" i="3"/>
  <c r="C15" i="3"/>
  <c r="C35" i="3"/>
  <c r="AJ5" i="1" l="1"/>
  <c r="J3" i="2"/>
  <c r="M36" i="2" s="1"/>
  <c r="H36" i="2"/>
  <c r="H37" i="2"/>
  <c r="H39" i="2" s="1"/>
  <c r="H38" i="2"/>
  <c r="H40" i="2" s="1"/>
  <c r="M16" i="2" l="1"/>
  <c r="M22" i="2"/>
  <c r="L35" i="2"/>
  <c r="M32" i="2"/>
  <c r="M18" i="2"/>
  <c r="M34" i="2"/>
  <c r="M20" i="2"/>
  <c r="M9" i="2"/>
  <c r="M28" i="2"/>
  <c r="L7" i="2"/>
  <c r="M12" i="2"/>
  <c r="M8" i="2"/>
  <c r="L23" i="2"/>
  <c r="M14" i="2"/>
  <c r="L30" i="2"/>
  <c r="M33" i="2"/>
  <c r="L36" i="2"/>
  <c r="M10" i="2"/>
  <c r="M38" i="2"/>
  <c r="L38" i="2"/>
  <c r="L24" i="2"/>
  <c r="M23" i="2"/>
  <c r="L8" i="2"/>
  <c r="L9" i="2"/>
  <c r="M41" i="2"/>
  <c r="M7" i="2"/>
  <c r="L13" i="2"/>
  <c r="L16" i="2"/>
  <c r="L18" i="2"/>
  <c r="L28" i="2"/>
  <c r="M19" i="2"/>
  <c r="L34" i="2"/>
  <c r="M15" i="2"/>
  <c r="M31" i="2"/>
  <c r="M13" i="2"/>
  <c r="L31" i="2"/>
  <c r="L41" i="2"/>
  <c r="L3" i="2"/>
  <c r="L12" i="2"/>
  <c r="L6" i="2"/>
  <c r="M21" i="2"/>
  <c r="M5" i="2"/>
  <c r="M40" i="2"/>
  <c r="M26" i="2"/>
  <c r="M30" i="2"/>
  <c r="M37" i="2"/>
  <c r="M29" i="2"/>
  <c r="L15" i="2"/>
  <c r="L14" i="2"/>
  <c r="M4" i="2"/>
  <c r="L4" i="2"/>
  <c r="L40" i="2"/>
  <c r="M27" i="2"/>
  <c r="M35" i="2"/>
  <c r="M39" i="2"/>
  <c r="L32" i="2"/>
  <c r="L25" i="2"/>
  <c r="L17" i="2"/>
  <c r="L20" i="2"/>
  <c r="L22" i="2"/>
  <c r="L39" i="2"/>
  <c r="L29" i="2"/>
  <c r="L26" i="2"/>
  <c r="M25" i="2"/>
  <c r="M17" i="2"/>
  <c r="L27" i="2"/>
  <c r="L33" i="2"/>
  <c r="L37" i="2"/>
  <c r="J2" i="2"/>
  <c r="L19" i="2"/>
  <c r="M3" i="2"/>
  <c r="L11" i="2"/>
  <c r="L10" i="2"/>
  <c r="M11" i="2"/>
  <c r="L5" i="2"/>
  <c r="M6" i="2"/>
  <c r="L21" i="2"/>
  <c r="M24" i="2"/>
  <c r="O6" i="1"/>
  <c r="O3" i="2" l="1"/>
  <c r="O4" i="2" s="1"/>
  <c r="O5" i="2" s="1"/>
  <c r="N3" i="2"/>
  <c r="N4" i="2" s="1"/>
  <c r="N5" i="2" s="1"/>
  <c r="Y6" i="1" l="1"/>
</calcChain>
</file>

<file path=xl/sharedStrings.xml><?xml version="1.0" encoding="utf-8"?>
<sst xmlns="http://schemas.openxmlformats.org/spreadsheetml/2006/main" count="1269" uniqueCount="774">
  <si>
    <t>Символ #1</t>
  </si>
  <si>
    <t>з</t>
  </si>
  <si>
    <t>Символ #2</t>
  </si>
  <si>
    <t>ь</t>
  </si>
  <si>
    <t>Символ #3</t>
  </si>
  <si>
    <t>Символ #4</t>
  </si>
  <si>
    <t>Символ #5</t>
  </si>
  <si>
    <t>Символ #6</t>
  </si>
  <si>
    <t>Пробел:</t>
  </si>
  <si>
    <t xml:space="preserve"> </t>
  </si>
  <si>
    <t>Число символов:</t>
  </si>
  <si>
    <t>Длина строки:</t>
  </si>
  <si>
    <t>о</t>
  </si>
  <si>
    <t>Префикс:</t>
  </si>
  <si>
    <t>Суффикс:</t>
  </si>
  <si>
    <t>Постфикс:</t>
  </si>
  <si>
    <t>.</t>
  </si>
  <si>
    <t>?</t>
  </si>
  <si>
    <t>ж</t>
  </si>
  <si>
    <t>х</t>
  </si>
  <si>
    <t>% пробелов:</t>
  </si>
  <si>
    <t>н</t>
  </si>
  <si>
    <t>е</t>
  </si>
  <si>
    <t>к</t>
  </si>
  <si>
    <t>у</t>
  </si>
  <si>
    <t>Анаграмма:</t>
  </si>
  <si>
    <t>й</t>
  </si>
  <si>
    <t>q</t>
  </si>
  <si>
    <t>ឆ</t>
  </si>
  <si>
    <t>ቅ</t>
  </si>
  <si>
    <t>ු</t>
  </si>
  <si>
    <t>ц</t>
  </si>
  <si>
    <t>w</t>
  </si>
  <si>
    <t>ឹ</t>
  </si>
  <si>
    <t>ው</t>
  </si>
  <si>
    <t>අ</t>
  </si>
  <si>
    <t>e</t>
  </si>
  <si>
    <t>េ</t>
  </si>
  <si>
    <t>እ</t>
  </si>
  <si>
    <t>ැ</t>
  </si>
  <si>
    <t>r</t>
  </si>
  <si>
    <t>រ</t>
  </si>
  <si>
    <t>ር</t>
  </si>
  <si>
    <t>ර</t>
  </si>
  <si>
    <t>t</t>
  </si>
  <si>
    <t>ត</t>
  </si>
  <si>
    <t>ት</t>
  </si>
  <si>
    <t>එ</t>
  </si>
  <si>
    <t>y</t>
  </si>
  <si>
    <t>យ</t>
  </si>
  <si>
    <t>ይ</t>
  </si>
  <si>
    <t>හ</t>
  </si>
  <si>
    <t>г</t>
  </si>
  <si>
    <t>u</t>
  </si>
  <si>
    <t>ុ</t>
  </si>
  <si>
    <t>ኡ</t>
  </si>
  <si>
    <t>ම</t>
  </si>
  <si>
    <t>ш</t>
  </si>
  <si>
    <t>i</t>
  </si>
  <si>
    <t>ិ</t>
  </si>
  <si>
    <t>ኢ</t>
  </si>
  <si>
    <t>ස</t>
  </si>
  <si>
    <t>щ</t>
  </si>
  <si>
    <t>o</t>
  </si>
  <si>
    <t>ោ</t>
  </si>
  <si>
    <t>ኦ</t>
  </si>
  <si>
    <t>ද</t>
  </si>
  <si>
    <t>p</t>
  </si>
  <si>
    <t>ផ</t>
  </si>
  <si>
    <t>ፕ</t>
  </si>
  <si>
    <t>ච</t>
  </si>
  <si>
    <t/>
  </si>
  <si>
    <t>ៀ</t>
  </si>
  <si>
    <t>ඤ</t>
  </si>
  <si>
    <t>ъ</t>
  </si>
  <si>
    <t>ឪ</t>
  </si>
  <si>
    <t>ф</t>
  </si>
  <si>
    <t>a</t>
  </si>
  <si>
    <t>ា</t>
  </si>
  <si>
    <t>አ</t>
  </si>
  <si>
    <t>්</t>
  </si>
  <si>
    <t>ы</t>
  </si>
  <si>
    <t>s</t>
  </si>
  <si>
    <t>ស</t>
  </si>
  <si>
    <t>ስ</t>
  </si>
  <si>
    <t>ි</t>
  </si>
  <si>
    <t>в</t>
  </si>
  <si>
    <t>d</t>
  </si>
  <si>
    <t>ដ</t>
  </si>
  <si>
    <t>ድ</t>
  </si>
  <si>
    <t>ා</t>
  </si>
  <si>
    <t>а</t>
  </si>
  <si>
    <t>f</t>
  </si>
  <si>
    <t>ថ</t>
  </si>
  <si>
    <t>ፍ</t>
  </si>
  <si>
    <t>ෙ</t>
  </si>
  <si>
    <t>п</t>
  </si>
  <si>
    <t>g</t>
  </si>
  <si>
    <t>ង</t>
  </si>
  <si>
    <t>ግ</t>
  </si>
  <si>
    <t>ට</t>
  </si>
  <si>
    <t>р</t>
  </si>
  <si>
    <t>h</t>
  </si>
  <si>
    <t>ហ</t>
  </si>
  <si>
    <t>ህ</t>
  </si>
  <si>
    <t>ය</t>
  </si>
  <si>
    <t>j</t>
  </si>
  <si>
    <t>្</t>
  </si>
  <si>
    <t>ጅ</t>
  </si>
  <si>
    <t>ව</t>
  </si>
  <si>
    <t>л</t>
  </si>
  <si>
    <t>k</t>
  </si>
  <si>
    <t>ក</t>
  </si>
  <si>
    <t>ክ</t>
  </si>
  <si>
    <t>න</t>
  </si>
  <si>
    <t>д</t>
  </si>
  <si>
    <t>l</t>
  </si>
  <si>
    <t>ល</t>
  </si>
  <si>
    <t>ል</t>
  </si>
  <si>
    <t>ක</t>
  </si>
  <si>
    <t>ើ</t>
  </si>
  <si>
    <t>ත</t>
  </si>
  <si>
    <t>э</t>
  </si>
  <si>
    <t>់</t>
  </si>
  <si>
    <t>я</t>
  </si>
  <si>
    <t>z</t>
  </si>
  <si>
    <t>ឋ</t>
  </si>
  <si>
    <t>ዝ</t>
  </si>
  <si>
    <t>ч</t>
  </si>
  <si>
    <t>x</t>
  </si>
  <si>
    <t>ខ</t>
  </si>
  <si>
    <t>ሽ</t>
  </si>
  <si>
    <t>ං</t>
  </si>
  <si>
    <t>с</t>
  </si>
  <si>
    <t>c</t>
  </si>
  <si>
    <t>ច</t>
  </si>
  <si>
    <t>ች</t>
  </si>
  <si>
    <t>ජ</t>
  </si>
  <si>
    <t>м</t>
  </si>
  <si>
    <t>v</t>
  </si>
  <si>
    <t>វ</t>
  </si>
  <si>
    <t>ቭ</t>
  </si>
  <si>
    <t>ඩ</t>
  </si>
  <si>
    <t>и</t>
  </si>
  <si>
    <t>b</t>
  </si>
  <si>
    <t>ប</t>
  </si>
  <si>
    <t>ብ</t>
  </si>
  <si>
    <t>ඉ</t>
  </si>
  <si>
    <t>т</t>
  </si>
  <si>
    <t>n</t>
  </si>
  <si>
    <t>ន</t>
  </si>
  <si>
    <t>ን</t>
  </si>
  <si>
    <t>බ</t>
  </si>
  <si>
    <t>m</t>
  </si>
  <si>
    <t>ម</t>
  </si>
  <si>
    <t>ም</t>
  </si>
  <si>
    <t>ප</t>
  </si>
  <si>
    <t>б</t>
  </si>
  <si>
    <t>ල</t>
  </si>
  <si>
    <t>ю</t>
  </si>
  <si>
    <t>ග</t>
  </si>
  <si>
    <t>In</t>
  </si>
  <si>
    <t>Out</t>
  </si>
  <si>
    <t>Coord</t>
  </si>
  <si>
    <t>Координаты:</t>
  </si>
  <si>
    <t>Индекс:</t>
  </si>
  <si>
    <t>кириллица</t>
  </si>
  <si>
    <t>латиница</t>
  </si>
  <si>
    <t>кхмерский</t>
  </si>
  <si>
    <t>амхарский</t>
  </si>
  <si>
    <t>сингальский</t>
  </si>
  <si>
    <t>SIMPLE</t>
  </si>
  <si>
    <t>FIXED</t>
  </si>
  <si>
    <t>DESCENT</t>
  </si>
  <si>
    <t>!</t>
  </si>
  <si>
    <t>-</t>
  </si>
  <si>
    <t>,</t>
  </si>
  <si>
    <t>"</t>
  </si>
  <si>
    <t>ё</t>
  </si>
  <si>
    <t>ALPHABET</t>
  </si>
  <si>
    <t xml:space="preserve">   Использовать текст:</t>
  </si>
  <si>
    <t xml:space="preserve">  Замена символов:</t>
  </si>
  <si>
    <t>Промилле:</t>
  </si>
  <si>
    <t>by Sergey Egorov // www.hayabuzo.me</t>
  </si>
  <si>
    <t>C:\!Docs\My\GLIMPSE\Googler\export.txt</t>
  </si>
  <si>
    <t>шкз ижж цщщпт хцю ев и лрз бк гщэ_x000D_
ррщцмп ш вх"ююый ъъ мпзс з нчйпи_x000D_
тц щл х,эыюшю ше-ьгнуэ пб г в хз_x000D_
тсй г кт ю х к ч тйн зеоюд вр мм_x000D_
х, щшайыю аю ж фбььш юб-ье уо юй_x000D_
элэч,ъюкл дю лпхщ ццьъ ю з гчрбз_x000D_
йыхлгэн зеки вн зев ш ыи, эо уз,_x000D_
эээ ъю м злй к вви рц ым ю кйху"_x000D_
жвькшюв гзплл мунйъ дсхшч оещжаь_x000D_
клм-к в й кмл щз зеэы ц зотье дз_x000D_
ри- хл фжшопмарл хвднзнц ц уфжчл_x000D_
р ф й сдс ь"тгхйхэ хцйк скнг кро_x000D_
рр лйп лшрщи жоуэ ы уумкмж и шшр_x000D_
ши члнззеч лвпсайют ул чта ж ичю_x000D_
ш штйч тззэпе пыачепкк кткчазннв_x000D_
щжую рпме ви ш рл ет секл фэ ъцн_x000D_
ы лх в ем цри т уьбо у со птю му_x000D_
з, аа нею зца йныц д укч йцау чх_x000D_
тз щу зржаы аътщй амм т где миод_x000D_
в гблгэоылй дэбыч змфе ерд хкнъ-_x000D_
,двюоидц в у у ным нфдлрюдэмткчн_x000D_
ст з ьт йшэцшръхт щэ" ч ч внвйою_x000D_
п ащ ь нп твкэъмртзйк увэлн е щб_x000D_
ббох дврыхзрпрдзетчтщкф цлдрн мб_x000D_
рзыюшоэ щзз йлзеь че йлтнухых бу_x000D_
ысг й хтпкк ил мвт б и ллщопогюц_x000D_
бг ые кж эжжб ч тпщщцир иъедшщбн_x000D_
ч р ищт лдзб мз т ечч цн -юьщч"т_x000D_
ыш тз ь"гйэмуцтбшв щчмрэшж ф ъхт_x000D_
хннхлпщчюыы бу гт тю нз шэй шщуй_x000D_
уъпп пур ъчдщотгмо ьфх ш-зрл нбр_x000D_
юй сьлфз шюэт, ешу щ щ еы ыи гмн_x000D_
тж ю нфтжюл эъ юмщъ дъцзн эип ба_x000D_
вр ж к мввп нь а щи ид имебепнюе_x000D_
ъер ак фагжма йауъ р ещихнх х ой_x000D_
в се, ь пижбив гфгц вц ечм ид-зц_x000D_
чюфхд г мггэк-ь пзцы цифбчтмщузг_x000D_
ди фр ггмбж еи ъккзыщва з- ързщп_x000D_
сч хгз хжб ви пею а пэ гвгф й жр_x000D_
мпэео чпвлбмг ф ыь мюфбий д ыджф</t>
  </si>
  <si>
    <t>Путь:</t>
  </si>
  <si>
    <t>Очистка:</t>
  </si>
  <si>
    <t>панджаби</t>
  </si>
  <si>
    <t>ੌ</t>
  </si>
  <si>
    <t>ੈ</t>
  </si>
  <si>
    <t>ਾ</t>
  </si>
  <si>
    <t>ੀ</t>
  </si>
  <si>
    <t>ੂ</t>
  </si>
  <si>
    <t>ਬ</t>
  </si>
  <si>
    <t>ਹ</t>
  </si>
  <si>
    <t>ਗ</t>
  </si>
  <si>
    <t>ਦ</t>
  </si>
  <si>
    <t>ਜ</t>
  </si>
  <si>
    <t>ਡ</t>
  </si>
  <si>
    <t>਼</t>
  </si>
  <si>
    <t>ੋ</t>
  </si>
  <si>
    <t>ੇ</t>
  </si>
  <si>
    <t>੍</t>
  </si>
  <si>
    <t>ਿ</t>
  </si>
  <si>
    <t>ੁ</t>
  </si>
  <si>
    <t>ਪ</t>
  </si>
  <si>
    <t>ਰ</t>
  </si>
  <si>
    <t>ਕ</t>
  </si>
  <si>
    <t>ਤ</t>
  </si>
  <si>
    <t>ਚ</t>
  </si>
  <si>
    <t>ਟ</t>
  </si>
  <si>
    <t>ਂ</t>
  </si>
  <si>
    <t>ਮ</t>
  </si>
  <si>
    <t>ਨ</t>
  </si>
  <si>
    <t>ਵ</t>
  </si>
  <si>
    <t>ਲ</t>
  </si>
  <si>
    <t xml:space="preserve"> ਸ</t>
  </si>
  <si>
    <t>арабский</t>
  </si>
  <si>
    <t>ض</t>
  </si>
  <si>
    <t>ص</t>
  </si>
  <si>
    <t>ث</t>
  </si>
  <si>
    <t>ق</t>
  </si>
  <si>
    <t>ف</t>
  </si>
  <si>
    <t>غ</t>
  </si>
  <si>
    <t>ع</t>
  </si>
  <si>
    <t>ه</t>
  </si>
  <si>
    <t>خ</t>
  </si>
  <si>
    <t>ح</t>
  </si>
  <si>
    <t>ج</t>
  </si>
  <si>
    <t>د</t>
  </si>
  <si>
    <t>ش</t>
  </si>
  <si>
    <t>س</t>
  </si>
  <si>
    <t>ي</t>
  </si>
  <si>
    <t>ب</t>
  </si>
  <si>
    <t>ل</t>
  </si>
  <si>
    <t>ا</t>
  </si>
  <si>
    <t>ت</t>
  </si>
  <si>
    <t>ن</t>
  </si>
  <si>
    <t>م</t>
  </si>
  <si>
    <t>ك</t>
  </si>
  <si>
    <t>ط</t>
  </si>
  <si>
    <t>ئ</t>
  </si>
  <si>
    <t>ء</t>
  </si>
  <si>
    <t>ؤ</t>
  </si>
  <si>
    <t>ر</t>
  </si>
  <si>
    <t>لا</t>
  </si>
  <si>
    <t>ى</t>
  </si>
  <si>
    <t>ة</t>
  </si>
  <si>
    <t>و</t>
  </si>
  <si>
    <t>ز</t>
  </si>
  <si>
    <t>ظ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</si>
  <si>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</si>
  <si>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</si>
  <si>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</si>
  <si>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</si>
  <si>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</si>
  <si>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</si>
  <si>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</si>
  <si>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</si>
  <si>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</si>
  <si>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</si>
  <si>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</si>
  <si>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</si>
  <si>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</si>
  <si>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</si>
  <si>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</si>
  <si>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</si>
  <si>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</si>
  <si>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</si>
  <si>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</si>
  <si>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</si>
  <si>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</si>
  <si>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</si>
  <si>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</si>
  <si>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</si>
  <si>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</si>
  <si>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</si>
  <si>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корейский</t>
  </si>
  <si>
    <t>ㅂ</t>
  </si>
  <si>
    <t>ㅈ</t>
  </si>
  <si>
    <t>ㄷ</t>
  </si>
  <si>
    <t>ㄱ</t>
  </si>
  <si>
    <t>ㅅ</t>
  </si>
  <si>
    <t>ㅛ</t>
  </si>
  <si>
    <t>ㅕ</t>
  </si>
  <si>
    <t>ㅑ</t>
  </si>
  <si>
    <t>ㅐ</t>
  </si>
  <si>
    <t>ㅔ</t>
  </si>
  <si>
    <t>ㅁ</t>
  </si>
  <si>
    <t>ㄴ</t>
  </si>
  <si>
    <t>ㅇ</t>
  </si>
  <si>
    <t>ㄹ</t>
  </si>
  <si>
    <t>ㅎ</t>
  </si>
  <si>
    <t>ㅗ</t>
  </si>
  <si>
    <t>ㅓ</t>
  </si>
  <si>
    <t>ㅏ</t>
  </si>
  <si>
    <t>ㅣ</t>
  </si>
  <si>
    <t>ㅋ</t>
  </si>
  <si>
    <t>ㅌ</t>
  </si>
  <si>
    <t>ㅊ</t>
  </si>
  <si>
    <t>ㅍ</t>
  </si>
  <si>
    <t>ㅠ</t>
  </si>
  <si>
    <t>ㅜ</t>
  </si>
  <si>
    <t>ㅡ</t>
  </si>
  <si>
    <t>армянский</t>
  </si>
  <si>
    <t>խ</t>
  </si>
  <si>
    <t>վ</t>
  </si>
  <si>
    <t>է</t>
  </si>
  <si>
    <t>ր</t>
  </si>
  <si>
    <t>դ</t>
  </si>
  <si>
    <t>ե</t>
  </si>
  <si>
    <t>ը</t>
  </si>
  <si>
    <t>ի</t>
  </si>
  <si>
    <t>ո</t>
  </si>
  <si>
    <t>չ</t>
  </si>
  <si>
    <t>ջ</t>
  </si>
  <si>
    <t>ա</t>
  </si>
  <si>
    <t>ս</t>
  </si>
  <si>
    <t>տ</t>
  </si>
  <si>
    <t>ֆ</t>
  </si>
  <si>
    <t>կ</t>
  </si>
  <si>
    <t>հ</t>
  </si>
  <si>
    <t>ճ</t>
  </si>
  <si>
    <t>ք</t>
  </si>
  <si>
    <t>լ</t>
  </si>
  <si>
    <t>թ</t>
  </si>
  <si>
    <t>փ</t>
  </si>
  <si>
    <t>զ</t>
  </si>
  <si>
    <t>ց</t>
  </si>
  <si>
    <t>գ</t>
  </si>
  <si>
    <t>ւ</t>
  </si>
  <si>
    <t>պ</t>
  </si>
  <si>
    <t>ն</t>
  </si>
  <si>
    <t>մ</t>
  </si>
  <si>
    <t>շ</t>
  </si>
  <si>
    <t>ղ</t>
  </si>
  <si>
    <t>ծ</t>
  </si>
  <si>
    <t>бенгальский</t>
  </si>
  <si>
    <t>ৌ</t>
  </si>
  <si>
    <t>ৈ</t>
  </si>
  <si>
    <t>া</t>
  </si>
  <si>
    <t>ী</t>
  </si>
  <si>
    <t>ূ</t>
  </si>
  <si>
    <t>ব</t>
  </si>
  <si>
    <t>হ</t>
  </si>
  <si>
    <t>গ</t>
  </si>
  <si>
    <t>দ</t>
  </si>
  <si>
    <t>জ</t>
  </si>
  <si>
    <t>ড</t>
  </si>
  <si>
    <t>়</t>
  </si>
  <si>
    <t>ো</t>
  </si>
  <si>
    <t>ে</t>
  </si>
  <si>
    <t>্</t>
  </si>
  <si>
    <t>ি</t>
  </si>
  <si>
    <t>ু</t>
  </si>
  <si>
    <t>প</t>
  </si>
  <si>
    <t>র</t>
  </si>
  <si>
    <t>ক</t>
  </si>
  <si>
    <t>ত</t>
  </si>
  <si>
    <t>চ</t>
  </si>
  <si>
    <t>ট</t>
  </si>
  <si>
    <t>৆</t>
  </si>
  <si>
    <t>ং</t>
  </si>
  <si>
    <t>ম</t>
  </si>
  <si>
    <t>ন</t>
  </si>
  <si>
    <t>঵</t>
  </si>
  <si>
    <t>ল</t>
  </si>
  <si>
    <t>স</t>
  </si>
  <si>
    <t>য</t>
  </si>
  <si>
    <t>грузинский</t>
  </si>
  <si>
    <t>ქ</t>
  </si>
  <si>
    <t>წ</t>
  </si>
  <si>
    <t>ე</t>
  </si>
  <si>
    <t>რ</t>
  </si>
  <si>
    <t>ტ</t>
  </si>
  <si>
    <t>ყ</t>
  </si>
  <si>
    <t>უ</t>
  </si>
  <si>
    <t>ი</t>
  </si>
  <si>
    <t>ო</t>
  </si>
  <si>
    <t>პ</t>
  </si>
  <si>
    <t>ა</t>
  </si>
  <si>
    <t>ს</t>
  </si>
  <si>
    <t>დ</t>
  </si>
  <si>
    <t>ფ</t>
  </si>
  <si>
    <t>გ</t>
  </si>
  <si>
    <t>ჰ</t>
  </si>
  <si>
    <t>ჯ</t>
  </si>
  <si>
    <t>კ</t>
  </si>
  <si>
    <t>ლ</t>
  </si>
  <si>
    <t>ზ</t>
  </si>
  <si>
    <t>ხ</t>
  </si>
  <si>
    <t>ც</t>
  </si>
  <si>
    <t>ვ</t>
  </si>
  <si>
    <t>ბ</t>
  </si>
  <si>
    <t>ნ</t>
  </si>
  <si>
    <t>მ</t>
  </si>
  <si>
    <t>греческий</t>
  </si>
  <si>
    <t>ς</t>
  </si>
  <si>
    <t>ε</t>
  </si>
  <si>
    <t>ρ</t>
  </si>
  <si>
    <t>τ</t>
  </si>
  <si>
    <t>υ</t>
  </si>
  <si>
    <t>θ</t>
  </si>
  <si>
    <t>ι</t>
  </si>
  <si>
    <t>ο</t>
  </si>
  <si>
    <t>π</t>
  </si>
  <si>
    <t>α</t>
  </si>
  <si>
    <t>σ</t>
  </si>
  <si>
    <t>δ</t>
  </si>
  <si>
    <t>φ</t>
  </si>
  <si>
    <t>γ</t>
  </si>
  <si>
    <t>η</t>
  </si>
  <si>
    <t>ξ</t>
  </si>
  <si>
    <t>κ</t>
  </si>
  <si>
    <t>λ</t>
  </si>
  <si>
    <t>ζ</t>
  </si>
  <si>
    <t>χ</t>
  </si>
  <si>
    <t>ψ</t>
  </si>
  <si>
    <t>ω</t>
  </si>
  <si>
    <t>β</t>
  </si>
  <si>
    <t>ν</t>
  </si>
  <si>
    <t>μ</t>
  </si>
  <si>
    <t>гуджарати</t>
  </si>
  <si>
    <t>ૌ</t>
  </si>
  <si>
    <t>ૈ</t>
  </si>
  <si>
    <t>ા</t>
  </si>
  <si>
    <t>ી</t>
  </si>
  <si>
    <t>ૂ</t>
  </si>
  <si>
    <t>બ</t>
  </si>
  <si>
    <t>હ</t>
  </si>
  <si>
    <t>ગ</t>
  </si>
  <si>
    <t>દ</t>
  </si>
  <si>
    <t>જ</t>
  </si>
  <si>
    <t>ડ</t>
  </si>
  <si>
    <t>઼</t>
  </si>
  <si>
    <t>ો</t>
  </si>
  <si>
    <t>ે</t>
  </si>
  <si>
    <t>્</t>
  </si>
  <si>
    <t>િ</t>
  </si>
  <si>
    <t>ુ</t>
  </si>
  <si>
    <t>પ</t>
  </si>
  <si>
    <t>ર</t>
  </si>
  <si>
    <t>ક</t>
  </si>
  <si>
    <t>ત</t>
  </si>
  <si>
    <t>ચ</t>
  </si>
  <si>
    <t>ટ</t>
  </si>
  <si>
    <t>૆</t>
  </si>
  <si>
    <t>ં</t>
  </si>
  <si>
    <t>મ</t>
  </si>
  <si>
    <t>ન</t>
  </si>
  <si>
    <t>વ</t>
  </si>
  <si>
    <t>લ</t>
  </si>
  <si>
    <t>સ</t>
  </si>
  <si>
    <t>ય</t>
  </si>
  <si>
    <t>иврит</t>
  </si>
  <si>
    <t>ק</t>
  </si>
  <si>
    <t>ר</t>
  </si>
  <si>
    <t>א</t>
  </si>
  <si>
    <t>ט</t>
  </si>
  <si>
    <t>ו</t>
  </si>
  <si>
    <t>ן</t>
  </si>
  <si>
    <t>ם</t>
  </si>
  <si>
    <t>פ</t>
  </si>
  <si>
    <t>ש</t>
  </si>
  <si>
    <t>ד</t>
  </si>
  <si>
    <t>ג</t>
  </si>
  <si>
    <t>כ</t>
  </si>
  <si>
    <t>ע</t>
  </si>
  <si>
    <t>י</t>
  </si>
  <si>
    <t>ח</t>
  </si>
  <si>
    <t>ל</t>
  </si>
  <si>
    <t>ך</t>
  </si>
  <si>
    <t>ף</t>
  </si>
  <si>
    <t>ז</t>
  </si>
  <si>
    <t>ס</t>
  </si>
  <si>
    <t>ב</t>
  </si>
  <si>
    <t>ה</t>
  </si>
  <si>
    <t>נ</t>
  </si>
  <si>
    <t>מ</t>
  </si>
  <si>
    <t>צ</t>
  </si>
  <si>
    <t>ת</t>
  </si>
  <si>
    <t>ץ</t>
  </si>
  <si>
    <t>хинди</t>
  </si>
  <si>
    <t>ौ</t>
  </si>
  <si>
    <t>ै</t>
  </si>
  <si>
    <t>ा</t>
  </si>
  <si>
    <t>ी</t>
  </si>
  <si>
    <t>ू</t>
  </si>
  <si>
    <t>ब</t>
  </si>
  <si>
    <t>ह</t>
  </si>
  <si>
    <t>ग</t>
  </si>
  <si>
    <t>द</t>
  </si>
  <si>
    <t>ज</t>
  </si>
  <si>
    <t>ड</t>
  </si>
  <si>
    <t>़</t>
  </si>
  <si>
    <t>ो</t>
  </si>
  <si>
    <t>े</t>
  </si>
  <si>
    <t>्</t>
  </si>
  <si>
    <t>ि</t>
  </si>
  <si>
    <t>ु</t>
  </si>
  <si>
    <t>प</t>
  </si>
  <si>
    <t>र</t>
  </si>
  <si>
    <t>क</t>
  </si>
  <si>
    <t>त</t>
  </si>
  <si>
    <t>च</t>
  </si>
  <si>
    <t>ट</t>
  </si>
  <si>
    <t>ॆ</t>
  </si>
  <si>
    <t>ं</t>
  </si>
  <si>
    <t>म</t>
  </si>
  <si>
    <t>न</t>
  </si>
  <si>
    <t>व</t>
  </si>
  <si>
    <t>ल</t>
  </si>
  <si>
    <t>स</t>
  </si>
  <si>
    <t>य</t>
  </si>
  <si>
    <t>каннада</t>
  </si>
  <si>
    <t>ೌ</t>
  </si>
  <si>
    <t>ೈ</t>
  </si>
  <si>
    <t>ಾ</t>
  </si>
  <si>
    <t>ೀ</t>
  </si>
  <si>
    <t>ೂ</t>
  </si>
  <si>
    <t>ಬ</t>
  </si>
  <si>
    <t>ಹ</t>
  </si>
  <si>
    <t>ಗ</t>
  </si>
  <si>
    <t>ದ</t>
  </si>
  <si>
    <t>ಜ</t>
  </si>
  <si>
    <t>ಡ</t>
  </si>
  <si>
    <t>ೋ</t>
  </si>
  <si>
    <t>ೇ</t>
  </si>
  <si>
    <t>್</t>
  </si>
  <si>
    <t>ಿ</t>
  </si>
  <si>
    <t>ು</t>
  </si>
  <si>
    <t>ಪ</t>
  </si>
  <si>
    <t>ರ</t>
  </si>
  <si>
    <t>ಕ</t>
  </si>
  <si>
    <t>ತ</t>
  </si>
  <si>
    <t>ಚ</t>
  </si>
  <si>
    <t>ಟ</t>
  </si>
  <si>
    <t>ೆ</t>
  </si>
  <si>
    <t>ಂ</t>
  </si>
  <si>
    <t>ಮ</t>
  </si>
  <si>
    <t>ನ</t>
  </si>
  <si>
    <t>ವ</t>
  </si>
  <si>
    <t>ಲ</t>
  </si>
  <si>
    <t>ಸ</t>
  </si>
  <si>
    <t>ಯ</t>
  </si>
  <si>
    <t>лаосский</t>
  </si>
  <si>
    <t>ົ</t>
  </si>
  <si>
    <t>ໄ</t>
  </si>
  <si>
    <t>ຳ</t>
  </si>
  <si>
    <t>ພ</t>
  </si>
  <si>
    <t>ະ</t>
  </si>
  <si>
    <t>ິ</t>
  </si>
  <si>
    <t>ີ</t>
  </si>
  <si>
    <t>ຮ</t>
  </si>
  <si>
    <t>ນ</t>
  </si>
  <si>
    <t>ຍ</t>
  </si>
  <si>
    <t>ບ</t>
  </si>
  <si>
    <t>ລ</t>
  </si>
  <si>
    <t>ັ</t>
  </si>
  <si>
    <t>ຫ</t>
  </si>
  <si>
    <t>ກ</t>
  </si>
  <si>
    <t>ດ</t>
  </si>
  <si>
    <t>ເ</t>
  </si>
  <si>
    <t>້</t>
  </si>
  <si>
    <t>່</t>
  </si>
  <si>
    <t>າ</t>
  </si>
  <si>
    <t>ສ</t>
  </si>
  <si>
    <t>ວ</t>
  </si>
  <si>
    <t>ງ</t>
  </si>
  <si>
    <t>ຜ</t>
  </si>
  <si>
    <t>ປ</t>
  </si>
  <si>
    <t>ແ</t>
  </si>
  <si>
    <t>ອ</t>
  </si>
  <si>
    <t>ຶ</t>
  </si>
  <si>
    <t>ື</t>
  </si>
  <si>
    <t>ທ</t>
  </si>
  <si>
    <t>ມ</t>
  </si>
  <si>
    <t>ໃ</t>
  </si>
  <si>
    <t>ຝ</t>
  </si>
  <si>
    <t>малаялам</t>
  </si>
  <si>
    <t>ൗ</t>
  </si>
  <si>
    <t>ൈ</t>
  </si>
  <si>
    <t>ാ</t>
  </si>
  <si>
    <t>ീ</t>
  </si>
  <si>
    <t>ൂ</t>
  </si>
  <si>
    <t>ബ</t>
  </si>
  <si>
    <t>ഹ</t>
  </si>
  <si>
    <t>ഗ</t>
  </si>
  <si>
    <t>ദ</t>
  </si>
  <si>
    <t>ജ</t>
  </si>
  <si>
    <t>ഡ</t>
  </si>
  <si>
    <t>‍ർ</t>
  </si>
  <si>
    <t>ോ</t>
  </si>
  <si>
    <t>േ</t>
  </si>
  <si>
    <t>്</t>
  </si>
  <si>
    <t>ി</t>
  </si>
  <si>
    <t>ു</t>
  </si>
  <si>
    <t>പ</t>
  </si>
  <si>
    <t>ര</t>
  </si>
  <si>
    <t>ക</t>
  </si>
  <si>
    <t>ത</t>
  </si>
  <si>
    <t>ച</t>
  </si>
  <si>
    <t>ട</t>
  </si>
  <si>
    <t>െ</t>
  </si>
  <si>
    <t>ം</t>
  </si>
  <si>
    <t>മ</t>
  </si>
  <si>
    <t>ന</t>
  </si>
  <si>
    <t>വ</t>
  </si>
  <si>
    <t>ല</t>
  </si>
  <si>
    <t>സ</t>
  </si>
  <si>
    <t>യ</t>
  </si>
  <si>
    <t>бурманский</t>
  </si>
  <si>
    <t>ဆ</t>
  </si>
  <si>
    <t>တ</t>
  </si>
  <si>
    <t>န</t>
  </si>
  <si>
    <t>မ</t>
  </si>
  <si>
    <t>အ</t>
  </si>
  <si>
    <t>ပ</t>
  </si>
  <si>
    <t>က</t>
  </si>
  <si>
    <t>င</t>
  </si>
  <si>
    <t>သ</t>
  </si>
  <si>
    <t>စ</t>
  </si>
  <si>
    <t>ဟ</t>
  </si>
  <si>
    <t>ဩ</t>
  </si>
  <si>
    <t>‌ေ</t>
  </si>
  <si>
    <t>ျ</t>
  </si>
  <si>
    <t>ိ</t>
  </si>
  <si>
    <t>်</t>
  </si>
  <si>
    <t>ါ</t>
  </si>
  <si>
    <t>့</t>
  </si>
  <si>
    <t>ြ</t>
  </si>
  <si>
    <t>ု</t>
  </si>
  <si>
    <t>ူ</t>
  </si>
  <si>
    <t>း</t>
  </si>
  <si>
    <t>ဖ</t>
  </si>
  <si>
    <t>ထ</t>
  </si>
  <si>
    <t>ခ</t>
  </si>
  <si>
    <t>လ</t>
  </si>
  <si>
    <t>ဘ</t>
  </si>
  <si>
    <t>ည</t>
  </si>
  <si>
    <t>ာ</t>
  </si>
  <si>
    <t>ယ</t>
  </si>
  <si>
    <t>тамильский</t>
  </si>
  <si>
    <t>ஆ</t>
  </si>
  <si>
    <t>ஈ</t>
  </si>
  <si>
    <t>ஊ</t>
  </si>
  <si>
    <t>ஐ</t>
  </si>
  <si>
    <t>ஏ</t>
  </si>
  <si>
    <t>ள</t>
  </si>
  <si>
    <t>ற</t>
  </si>
  <si>
    <t>ன</t>
  </si>
  <si>
    <t>ட</t>
  </si>
  <si>
    <t>ண</t>
  </si>
  <si>
    <t>ச</t>
  </si>
  <si>
    <t>ஞ</t>
  </si>
  <si>
    <t>அ</t>
  </si>
  <si>
    <t>இ</t>
  </si>
  <si>
    <t>உ</t>
  </si>
  <si>
    <t>்</t>
  </si>
  <si>
    <t>எ</t>
  </si>
  <si>
    <t>க</t>
  </si>
  <si>
    <t>ப</t>
  </si>
  <si>
    <t>ம</t>
  </si>
  <si>
    <t>த</t>
  </si>
  <si>
    <t>ந</t>
  </si>
  <si>
    <t>ய</t>
  </si>
  <si>
    <t>ஔ</t>
  </si>
  <si>
    <t>ஓ</t>
  </si>
  <si>
    <t>ஒ</t>
  </si>
  <si>
    <t>வ</t>
  </si>
  <si>
    <t>ங</t>
  </si>
  <si>
    <t>ல</t>
  </si>
  <si>
    <t>ர</t>
  </si>
  <si>
    <t>ழ</t>
  </si>
  <si>
    <t>телугу</t>
  </si>
  <si>
    <t>ౌ</t>
  </si>
  <si>
    <t>ై</t>
  </si>
  <si>
    <t>ా</t>
  </si>
  <si>
    <t>ీ</t>
  </si>
  <si>
    <t>ూ</t>
  </si>
  <si>
    <t>బ</t>
  </si>
  <si>
    <t>హ</t>
  </si>
  <si>
    <t>గ</t>
  </si>
  <si>
    <t>ద</t>
  </si>
  <si>
    <t>జ</t>
  </si>
  <si>
    <t>డ</t>
  </si>
  <si>
    <t>఼</t>
  </si>
  <si>
    <t>ో</t>
  </si>
  <si>
    <t>ే</t>
  </si>
  <si>
    <t>్</t>
  </si>
  <si>
    <t>ి</t>
  </si>
  <si>
    <t>ు</t>
  </si>
  <si>
    <t>ప</t>
  </si>
  <si>
    <t>ర</t>
  </si>
  <si>
    <t>క</t>
  </si>
  <si>
    <t>త</t>
  </si>
  <si>
    <t>చ</t>
  </si>
  <si>
    <t>ట</t>
  </si>
  <si>
    <t>ె</t>
  </si>
  <si>
    <t>ం</t>
  </si>
  <si>
    <t>మ</t>
  </si>
  <si>
    <t>న</t>
  </si>
  <si>
    <t>వ</t>
  </si>
  <si>
    <t>ల</t>
  </si>
  <si>
    <t>స</t>
  </si>
  <si>
    <t>య</t>
  </si>
  <si>
    <t>тайский</t>
  </si>
  <si>
    <t>ๆ</t>
  </si>
  <si>
    <t>ไ</t>
  </si>
  <si>
    <t>ำ</t>
  </si>
  <si>
    <t>พ</t>
  </si>
  <si>
    <t>ะ</t>
  </si>
  <si>
    <t>ั</t>
  </si>
  <si>
    <t>ี</t>
  </si>
  <si>
    <t>ร</t>
  </si>
  <si>
    <t>น</t>
  </si>
  <si>
    <t>ย</t>
  </si>
  <si>
    <t>บ</t>
  </si>
  <si>
    <t>ล</t>
  </si>
  <si>
    <t>ฟ</t>
  </si>
  <si>
    <t>ห</t>
  </si>
  <si>
    <t>ก</t>
  </si>
  <si>
    <t>ด</t>
  </si>
  <si>
    <t>เ</t>
  </si>
  <si>
    <t>้</t>
  </si>
  <si>
    <t>่</t>
  </si>
  <si>
    <t>า</t>
  </si>
  <si>
    <t>ส</t>
  </si>
  <si>
    <t>ว</t>
  </si>
  <si>
    <t>ง</t>
  </si>
  <si>
    <t>ผ</t>
  </si>
  <si>
    <t>ป</t>
  </si>
  <si>
    <t>แ</t>
  </si>
  <si>
    <t>อ</t>
  </si>
  <si>
    <t>ิ</t>
  </si>
  <si>
    <t>ื</t>
  </si>
  <si>
    <t>ท</t>
  </si>
  <si>
    <t>ม</t>
  </si>
  <si>
    <t>ใ</t>
  </si>
  <si>
    <t>ฝ</t>
  </si>
  <si>
    <t>кракозябры</t>
  </si>
  <si>
    <t>é</t>
  </si>
  <si>
    <t>ö</t>
  </si>
  <si>
    <t>ó</t>
  </si>
  <si>
    <t>ę</t>
  </si>
  <si>
    <t>ĺ</t>
  </si>
  <si>
    <t>í</t>
  </si>
  <si>
    <t>ă</t>
  </si>
  <si>
    <t>ř</t>
  </si>
  <si>
    <t>ů</t>
  </si>
  <si>
    <t>ç</t>
  </si>
  <si>
    <t>ő</t>
  </si>
  <si>
    <t>ú</t>
  </si>
  <si>
    <t>ô</t>
  </si>
  <si>
    <t>ű</t>
  </si>
  <si>
    <t>â</t>
  </si>
  <si>
    <t>ŕ</t>
  </si>
  <si>
    <t>ď</t>
  </si>
  <si>
    <t>đ</t>
  </si>
  <si>
    <t>î</t>
  </si>
  <si>
    <t>ë</t>
  </si>
  <si>
    <t>ä</t>
  </si>
  <si>
    <t>ć</t>
  </si>
  <si>
    <t>ý</t>
  </si>
  <si>
    <t>ń</t>
  </si>
  <si>
    <t>ě</t>
  </si>
  <si>
    <t>č</t>
  </si>
  <si>
    <t>ň</t>
  </si>
  <si>
    <t>ü</t>
  </si>
  <si>
    <t>á</t>
  </si>
  <si>
    <t>ţ</t>
  </si>
  <si>
    <t>?!</t>
  </si>
  <si>
    <t>юеэгиф,нб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 р-к_x000D_
дъ с 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 цтсш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</si>
</sst>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\ ;;"/>
  </numFmts>
  <fonts count="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5" tint="0.3999755851924192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lightDown">
        <bgColor theme="0" tint="-0.499984740745262"/>
      </patternFill>
    </fill>
    <fill>
      <patternFill patternType="lightDown">
        <bgColor theme="9" tint="-0.249977111117893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textRotation="90"/>
    </xf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2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164" fontId="0" fillId="6" borderId="0" xfId="0" applyNumberFormat="1" applyFill="1" applyBorder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0" fontId="3" fillId="7" borderId="6" xfId="0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4" xfId="0" quotePrefix="1" applyFont="1" applyFill="1" applyBorder="1" applyAlignment="1" applyProtection="1">
      <alignment horizontal="center"/>
      <protection locked="0"/>
    </xf>
    <xf numFmtId="0" fontId="3" fillId="7" borderId="6" xfId="0" quotePrefix="1" applyNumberFormat="1" applyFont="1" applyFill="1" applyBorder="1" applyAlignment="1" applyProtection="1">
      <alignment horizontal="center"/>
      <protection locked="0"/>
    </xf>
    <xf numFmtId="0" fontId="3" fillId="7" borderId="6" xfId="0" applyFont="1" applyFill="1" applyBorder="1" applyAlignment="1" applyProtection="1">
      <alignment horizontal="center"/>
      <protection locked="0"/>
    </xf>
    <xf numFmtId="0" fontId="3" fillId="7" borderId="9" xfId="0" applyFont="1" applyFill="1" applyBorder="1" applyAlignment="1" applyProtection="1">
      <alignment horizontal="center"/>
      <protection locked="0"/>
    </xf>
    <xf numFmtId="0" fontId="3" fillId="8" borderId="6" xfId="0" applyFont="1" applyFill="1" applyBorder="1" applyAlignment="1" applyProtection="1">
      <alignment horizontal="center"/>
      <protection locked="0"/>
    </xf>
    <xf numFmtId="0" fontId="3" fillId="8" borderId="9" xfId="0" applyFont="1" applyFill="1" applyBorder="1" applyAlignment="1" applyProtection="1">
      <alignment horizontal="center"/>
      <protection locked="0"/>
    </xf>
    <xf numFmtId="164" fontId="0" fillId="6" borderId="0" xfId="0" applyNumberFormat="1" applyFill="1" applyProtection="1">
      <protection locked="0"/>
    </xf>
    <xf numFmtId="0" fontId="3" fillId="8" borderId="4" xfId="0" applyFont="1" applyFill="1" applyBorder="1" applyAlignment="1" applyProtection="1">
      <alignment horizontal="center"/>
    </xf>
    <xf numFmtId="0" fontId="0" fillId="5" borderId="0" xfId="0" applyFill="1"/>
    <xf numFmtId="0" fontId="3" fillId="7" borderId="6" xfId="0" applyFont="1" applyFill="1" applyBorder="1" applyAlignment="1">
      <alignment horizontal="center"/>
    </xf>
    <xf numFmtId="165" fontId="3" fillId="6" borderId="0" xfId="0" applyNumberFormat="1" applyFont="1" applyFill="1" applyAlignment="1">
      <alignment wrapText="1"/>
    </xf>
    <xf numFmtId="165" fontId="0" fillId="6" borderId="0" xfId="0" applyNumberFormat="1" applyFill="1"/>
    <xf numFmtId="0" fontId="0" fillId="0" borderId="0" xfId="0" applyAlignment="1">
      <alignment horizontal="center" textRotation="90"/>
    </xf>
    <xf numFmtId="0" fontId="0" fillId="0" borderId="0" xfId="0" quotePrefix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quotePrefix="1" applyFill="1" applyAlignment="1">
      <alignment horizontal="center"/>
    </xf>
    <xf numFmtId="0" fontId="0" fillId="9" borderId="0" xfId="0" quotePrefix="1" applyFill="1" applyAlignment="1">
      <alignment horizontal="center"/>
    </xf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 vertical="top" textRotation="255"/>
    </xf>
    <xf numFmtId="0" fontId="5" fillId="6" borderId="0" xfId="0" applyFont="1" applyFill="1" applyAlignment="1">
      <alignment horizontal="right"/>
    </xf>
    <xf numFmtId="0" fontId="3" fillId="7" borderId="5" xfId="0" applyFont="1" applyFill="1" applyBorder="1" applyAlignment="1">
      <alignment horizontal="right"/>
    </xf>
    <xf numFmtId="0" fontId="3" fillId="7" borderId="1" xfId="0" applyFont="1" applyFill="1" applyBorder="1" applyAlignment="1">
      <alignment horizontal="right"/>
    </xf>
    <xf numFmtId="0" fontId="3" fillId="7" borderId="2" xfId="0" applyFont="1" applyFill="1" applyBorder="1" applyAlignment="1">
      <alignment horizontal="right"/>
    </xf>
    <xf numFmtId="0" fontId="3" fillId="7" borderId="3" xfId="0" applyFont="1" applyFill="1" applyBorder="1" applyAlignment="1">
      <alignment horizontal="right"/>
    </xf>
    <xf numFmtId="0" fontId="3" fillId="7" borderId="7" xfId="0" applyFont="1" applyFill="1" applyBorder="1" applyAlignment="1">
      <alignment horizontal="right"/>
    </xf>
    <xf numFmtId="0" fontId="3" fillId="7" borderId="8" xfId="0" applyFont="1" applyFill="1" applyBorder="1" applyAlignment="1">
      <alignment horizontal="right"/>
    </xf>
    <xf numFmtId="0" fontId="3" fillId="8" borderId="2" xfId="0" applyFont="1" applyFill="1" applyBorder="1" applyAlignment="1">
      <alignment horizontal="right"/>
    </xf>
    <xf numFmtId="0" fontId="3" fillId="8" borderId="3" xfId="0" applyFont="1" applyFill="1" applyBorder="1" applyAlignment="1">
      <alignment horizontal="right"/>
    </xf>
    <xf numFmtId="0" fontId="3" fillId="8" borderId="5" xfId="0" applyFont="1" applyFill="1" applyBorder="1" applyAlignment="1">
      <alignment horizontal="right"/>
    </xf>
    <xf numFmtId="0" fontId="3" fillId="8" borderId="1" xfId="0" applyFont="1" applyFill="1" applyBorder="1" applyAlignment="1">
      <alignment horizontal="right"/>
    </xf>
    <xf numFmtId="0" fontId="3" fillId="8" borderId="7" xfId="0" applyFont="1" applyFill="1" applyBorder="1" applyAlignment="1">
      <alignment horizontal="right"/>
    </xf>
    <xf numFmtId="0" fontId="3" fillId="8" borderId="8" xfId="0" applyFont="1" applyFill="1" applyBorder="1" applyAlignment="1">
      <alignment horizontal="right"/>
    </xf>
    <xf numFmtId="0" fontId="4" fillId="7" borderId="2" xfId="0" applyFont="1" applyFill="1" applyBorder="1" applyAlignment="1" applyProtection="1">
      <alignment horizontal="center" vertical="center"/>
      <protection locked="0"/>
    </xf>
    <xf numFmtId="0" fontId="4" fillId="7" borderId="3" xfId="0" applyFont="1" applyFill="1" applyBorder="1" applyAlignment="1" applyProtection="1">
      <alignment horizontal="center" vertical="center"/>
      <protection locked="0"/>
    </xf>
    <xf numFmtId="0" fontId="4" fillId="7" borderId="5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3" fillId="7" borderId="1" xfId="0" applyFont="1" applyFill="1" applyBorder="1" applyAlignment="1" applyProtection="1">
      <alignment horizontal="left"/>
      <protection locked="0"/>
    </xf>
    <xf numFmtId="0" fontId="3" fillId="7" borderId="6" xfId="0" applyFont="1" applyFill="1" applyBorder="1" applyAlignment="1" applyProtection="1">
      <alignment horizontal="left"/>
      <protection locked="0"/>
    </xf>
    <xf numFmtId="0" fontId="3" fillId="7" borderId="3" xfId="0" applyFont="1" applyFill="1" applyBorder="1" applyAlignment="1" applyProtection="1">
      <alignment horizontal="left" wrapText="1"/>
      <protection locked="0"/>
    </xf>
    <xf numFmtId="0" fontId="3" fillId="7" borderId="3" xfId="0" applyFont="1" applyFill="1" applyBorder="1" applyAlignment="1" applyProtection="1">
      <alignment horizontal="left"/>
      <protection locked="0"/>
    </xf>
    <xf numFmtId="0" fontId="3" fillId="7" borderId="1" xfId="0" applyFont="1" applyFill="1" applyBorder="1" applyAlignment="1">
      <alignment horizontal="left"/>
    </xf>
    <xf numFmtId="0" fontId="3" fillId="7" borderId="5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3" fillId="7" borderId="6" xfId="0" applyFont="1" applyFill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3" fillId="7" borderId="10" xfId="0" applyFont="1" applyFill="1" applyBorder="1" applyAlignment="1">
      <alignment horizontal="center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4" fillId="7" borderId="5" xfId="0" applyFont="1" applyFill="1" applyBorder="1" applyAlignment="1" applyProtection="1">
      <alignment horizontal="center"/>
      <protection locked="0"/>
    </xf>
    <xf numFmtId="0" fontId="4" fillId="7" borderId="1" xfId="0" applyFont="1" applyFill="1" applyBorder="1" applyAlignment="1" applyProtection="1">
      <alignment horizontal="center"/>
      <protection locked="0"/>
    </xf>
    <xf numFmtId="0" fontId="3" fillId="7" borderId="8" xfId="0" applyFont="1" applyFill="1" applyBorder="1" applyAlignment="1" applyProtection="1">
      <alignment horizontal="left"/>
      <protection locked="0"/>
    </xf>
    <xf numFmtId="0" fontId="3" fillId="7" borderId="9" xfId="0" applyFont="1" applyFill="1" applyBorder="1" applyAlignment="1" applyProtection="1">
      <alignment horizontal="left"/>
      <protection locked="0"/>
    </xf>
    <xf numFmtId="49" fontId="3" fillId="7" borderId="1" xfId="0" quotePrefix="1" applyNumberFormat="1" applyFont="1" applyFill="1" applyBorder="1" applyAlignment="1" applyProtection="1">
      <alignment horizontal="left"/>
      <protection locked="0"/>
    </xf>
    <xf numFmtId="49" fontId="3" fillId="7" borderId="6" xfId="0" quotePrefix="1" applyNumberFormat="1" applyFont="1" applyFill="1" applyBorder="1" applyAlignment="1" applyProtection="1">
      <alignment horizontal="left"/>
      <protection locked="0"/>
    </xf>
    <xf numFmtId="0" fontId="3" fillId="7" borderId="1" xfId="0" applyFont="1" applyFill="1" applyBorder="1" applyAlignment="1" applyProtection="1">
      <alignment horizontal="center"/>
      <protection locked="0"/>
    </xf>
    <xf numFmtId="0" fontId="3" fillId="7" borderId="6" xfId="0" applyFont="1" applyFill="1" applyBorder="1" applyAlignment="1" applyProtection="1">
      <alignment horizontal="center"/>
      <protection locked="0"/>
    </xf>
    <xf numFmtId="0" fontId="4" fillId="7" borderId="10" xfId="0" applyFont="1" applyFill="1" applyBorder="1" applyAlignment="1">
      <alignment horizontal="center"/>
    </xf>
    <xf numFmtId="0" fontId="4" fillId="7" borderId="11" xfId="0" applyFont="1" applyFill="1" applyBorder="1" applyAlignment="1">
      <alignment horizontal="center"/>
    </xf>
    <xf numFmtId="0" fontId="4" fillId="7" borderId="12" xfId="0" applyFont="1" applyFill="1" applyBorder="1" applyAlignment="1">
      <alignment horizontal="center"/>
    </xf>
  </cellXfs>
  <cellStyles count="1">
    <cellStyle name="Normal" xfId="0" builtinId="0"/>
  </cellStyles>
  <dxfs count="5"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H2" lockText="1" noThreeD="1"/>
</file>

<file path=xl/ctrlProps/ctrlProp2.xml><?xml version="1.0" encoding="utf-8"?>
<formControlPr xmlns="http://schemas.microsoft.com/office/spreadsheetml/2009/9/main" objectType="CheckBox" checked="Checked" fmlaLink="H4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H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1</xdr:row>
          <xdr:rowOff>9525</xdr:rowOff>
        </xdr:from>
        <xdr:to>
          <xdr:col>13</xdr:col>
          <xdr:colOff>171450</xdr:colOff>
          <xdr:row>2</xdr:row>
          <xdr:rowOff>28575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FFFF" mc:Ignorable="a14" a14:legacySpreadsheetColorIndex="3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19050</xdr:rowOff>
        </xdr:from>
        <xdr:to>
          <xdr:col>13</xdr:col>
          <xdr:colOff>161925</xdr:colOff>
          <xdr:row>4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6</xdr:row>
          <xdr:rowOff>123825</xdr:rowOff>
        </xdr:from>
        <xdr:to>
          <xdr:col>13</xdr:col>
          <xdr:colOff>57150</xdr:colOff>
          <xdr:row>8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6</xdr:row>
          <xdr:rowOff>123825</xdr:rowOff>
        </xdr:from>
        <xdr:to>
          <xdr:col>17</xdr:col>
          <xdr:colOff>123825</xdr:colOff>
          <xdr:row>8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SIMPLE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6</xdr:row>
          <xdr:rowOff>133350</xdr:rowOff>
        </xdr:from>
        <xdr:to>
          <xdr:col>21</xdr:col>
          <xdr:colOff>28575</xdr:colOff>
          <xdr:row>8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FIXED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219075</xdr:colOff>
          <xdr:row>6</xdr:row>
          <xdr:rowOff>133350</xdr:rowOff>
        </xdr:from>
        <xdr:to>
          <xdr:col>25</xdr:col>
          <xdr:colOff>85725</xdr:colOff>
          <xdr:row>8</xdr:row>
          <xdr:rowOff>76200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DESCENT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47625</xdr:colOff>
          <xdr:row>6</xdr:row>
          <xdr:rowOff>133350</xdr:rowOff>
        </xdr:from>
        <xdr:to>
          <xdr:col>28</xdr:col>
          <xdr:colOff>228600</xdr:colOff>
          <xdr:row>8</xdr:row>
          <xdr:rowOff>76200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MIXED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8</xdr:col>
      <xdr:colOff>57149</xdr:colOff>
      <xdr:row>5</xdr:row>
      <xdr:rowOff>19050</xdr:rowOff>
    </xdr:from>
    <xdr:to>
      <xdr:col>13</xdr:col>
      <xdr:colOff>171450</xdr:colOff>
      <xdr:row>5</xdr:row>
      <xdr:rowOff>190499</xdr:rowOff>
    </xdr:to>
    <xdr:sp macro="[0]!Sheet1.CopyCoord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857374" y="981075"/>
          <a:ext cx="1257301" cy="1714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28</xdr:col>
      <xdr:colOff>38100</xdr:colOff>
      <xdr:row>5</xdr:row>
      <xdr:rowOff>19050</xdr:rowOff>
    </xdr:from>
    <xdr:to>
      <xdr:col>31</xdr:col>
      <xdr:colOff>161926</xdr:colOff>
      <xdr:row>5</xdr:row>
      <xdr:rowOff>180975</xdr:rowOff>
    </xdr:to>
    <xdr:sp macro="[0]!Sheet1.CopyIndex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6410325" y="981075"/>
          <a:ext cx="809626" cy="1619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47625</xdr:colOff>
      <xdr:row>5</xdr:row>
      <xdr:rowOff>9525</xdr:rowOff>
    </xdr:from>
    <xdr:to>
      <xdr:col>23</xdr:col>
      <xdr:colOff>190501</xdr:colOff>
      <xdr:row>6</xdr:row>
      <xdr:rowOff>0</xdr:rowOff>
    </xdr:to>
    <xdr:sp macro="[0]!Sheet1.CopyProm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4591050" y="971550"/>
          <a:ext cx="82867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171450</xdr:colOff>
          <xdr:row>6</xdr:row>
          <xdr:rowOff>133350</xdr:rowOff>
        </xdr:from>
        <xdr:to>
          <xdr:col>35</xdr:col>
          <xdr:colOff>57150</xdr:colOff>
          <xdr:row>8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3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13</xdr:col>
          <xdr:colOff>161925</xdr:colOff>
          <xdr:row>2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3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7</xdr:row>
      <xdr:rowOff>85725</xdr:rowOff>
    </xdr:from>
    <xdr:to>
      <xdr:col>5</xdr:col>
      <xdr:colOff>219075</xdr:colOff>
      <xdr:row>25</xdr:row>
      <xdr:rowOff>9525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CxnSpPr/>
      </xdr:nvCxnSpPr>
      <xdr:spPr>
        <a:xfrm>
          <a:off x="6181725" y="1419225"/>
          <a:ext cx="0" cy="3352800"/>
        </a:xfrm>
        <a:prstGeom prst="line">
          <a:avLst/>
        </a:prstGeom>
        <a:ln w="9525" cap="flat" cmpd="sng" algn="ctr">
          <a:solidFill>
            <a:schemeClr val="accent1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190500</xdr:colOff>
      <xdr:row>23</xdr:row>
      <xdr:rowOff>104775</xdr:rowOff>
    </xdr:from>
    <xdr:to>
      <xdr:col>14</xdr:col>
      <xdr:colOff>104775</xdr:colOff>
      <xdr:row>23</xdr:row>
      <xdr:rowOff>104775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5543550" y="4486275"/>
          <a:ext cx="6010275" cy="0"/>
        </a:xfrm>
        <a:prstGeom prst="line">
          <a:avLst/>
        </a:prstGeom>
        <a:ln w="9525" cap="flat" cmpd="sng" algn="ctr">
          <a:solidFill>
            <a:schemeClr val="dk1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571500</xdr:colOff>
      <xdr:row>23</xdr:row>
      <xdr:rowOff>114300</xdr:rowOff>
    </xdr:from>
    <xdr:to>
      <xdr:col>8</xdr:col>
      <xdr:colOff>428625</xdr:colOff>
      <xdr:row>23</xdr:row>
      <xdr:rowOff>114300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5924550" y="4495800"/>
          <a:ext cx="2295525" cy="0"/>
        </a:xfrm>
        <a:prstGeom prst="line">
          <a:avLst/>
        </a:prstGeom>
        <a:ln w="76200"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171450</xdr:colOff>
      <xdr:row>27</xdr:row>
      <xdr:rowOff>123825</xdr:rowOff>
    </xdr:from>
    <xdr:to>
      <xdr:col>9</xdr:col>
      <xdr:colOff>209550</xdr:colOff>
      <xdr:row>27</xdr:row>
      <xdr:rowOff>123825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CxnSpPr/>
      </xdr:nvCxnSpPr>
      <xdr:spPr>
        <a:xfrm>
          <a:off x="5524500" y="5267325"/>
          <a:ext cx="3086100" cy="0"/>
        </a:xfrm>
        <a:prstGeom prst="line">
          <a:avLst/>
        </a:prstGeom>
        <a:ln w="9525" cap="flat" cmpd="sng" algn="ctr">
          <a:solidFill>
            <a:schemeClr val="accent1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571500</xdr:colOff>
      <xdr:row>27</xdr:row>
      <xdr:rowOff>133350</xdr:rowOff>
    </xdr:from>
    <xdr:to>
      <xdr:col>8</xdr:col>
      <xdr:colOff>428625</xdr:colOff>
      <xdr:row>27</xdr:row>
      <xdr:rowOff>133350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CxnSpPr/>
      </xdr:nvCxnSpPr>
      <xdr:spPr>
        <a:xfrm>
          <a:off x="5924550" y="5276850"/>
          <a:ext cx="2295525" cy="0"/>
        </a:xfrm>
        <a:prstGeom prst="line">
          <a:avLst/>
        </a:prstGeom>
        <a:ln w="76200">
          <a:solidFill>
            <a:schemeClr val="accent2">
              <a:lumMod val="60000"/>
              <a:lumOff val="40000"/>
            </a:schemeClr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219075</xdr:colOff>
      <xdr:row>10</xdr:row>
      <xdr:rowOff>95250</xdr:rowOff>
    </xdr:from>
    <xdr:to>
      <xdr:col>5</xdr:col>
      <xdr:colOff>219075</xdr:colOff>
      <xdr:row>21</xdr:row>
      <xdr:rowOff>38100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>
          <a:off x="6181725" y="2000250"/>
          <a:ext cx="0" cy="2038350"/>
        </a:xfrm>
        <a:prstGeom prst="line">
          <a:avLst/>
        </a:prstGeom>
        <a:ln w="76200">
          <a:solidFill>
            <a:schemeClr val="accent4">
              <a:lumMod val="60000"/>
              <a:lumOff val="40000"/>
            </a:schemeClr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28576</xdr:colOff>
      <xdr:row>10</xdr:row>
      <xdr:rowOff>180975</xdr:rowOff>
    </xdr:from>
    <xdr:to>
      <xdr:col>8</xdr:col>
      <xdr:colOff>9525</xdr:colOff>
      <xdr:row>26</xdr:row>
      <xdr:rowOff>133350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6600826" y="2085975"/>
          <a:ext cx="1200149" cy="3000375"/>
        </a:xfrm>
        <a:prstGeom prst="line">
          <a:avLst/>
        </a:prstGeom>
        <a:ln w="9525" cap="flat" cmpd="sng" algn="ctr">
          <a:solidFill>
            <a:schemeClr val="accent1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180976</xdr:colOff>
      <xdr:row>15</xdr:row>
      <xdr:rowOff>133350</xdr:rowOff>
    </xdr:from>
    <xdr:to>
      <xdr:col>7</xdr:col>
      <xdr:colOff>266700</xdr:colOff>
      <xdr:row>24</xdr:row>
      <xdr:rowOff>180975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6753226" y="2990850"/>
          <a:ext cx="695324" cy="1762125"/>
        </a:xfrm>
        <a:prstGeom prst="line">
          <a:avLst/>
        </a:prstGeom>
        <a:ln w="76200">
          <a:solidFill>
            <a:schemeClr val="accent6">
              <a:lumMod val="60000"/>
              <a:lumOff val="40000"/>
            </a:schemeClr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600075</xdr:colOff>
      <xdr:row>18</xdr:row>
      <xdr:rowOff>19050</xdr:rowOff>
    </xdr:from>
    <xdr:to>
      <xdr:col>14</xdr:col>
      <xdr:colOff>66675</xdr:colOff>
      <xdr:row>25</xdr:row>
      <xdr:rowOff>66675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7781925" y="3448050"/>
          <a:ext cx="3733800" cy="1381125"/>
        </a:xfrm>
        <a:prstGeom prst="line">
          <a:avLst/>
        </a:prstGeom>
        <a:ln w="9525" cap="flat" cmpd="sng" algn="ctr">
          <a:solidFill>
            <a:schemeClr val="accent1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428625</xdr:colOff>
      <xdr:row>18</xdr:row>
      <xdr:rowOff>180975</xdr:rowOff>
    </xdr:from>
    <xdr:to>
      <xdr:col>11</xdr:col>
      <xdr:colOff>323850</xdr:colOff>
      <xdr:row>22</xdr:row>
      <xdr:rowOff>57150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CxnSpPr/>
      </xdr:nvCxnSpPr>
      <xdr:spPr>
        <a:xfrm>
          <a:off x="8220075" y="3609975"/>
          <a:ext cx="1724025" cy="638175"/>
        </a:xfrm>
        <a:prstGeom prst="line">
          <a:avLst/>
        </a:prstGeom>
        <a:ln w="76200">
          <a:solidFill>
            <a:schemeClr val="accent5">
              <a:lumMod val="60000"/>
              <a:lumOff val="40000"/>
            </a:schemeClr>
          </a:solidFill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23</xdr:row>
      <xdr:rowOff>133350</xdr:rowOff>
    </xdr:from>
    <xdr:to>
      <xdr:col>9</xdr:col>
      <xdr:colOff>266700</xdr:colOff>
      <xdr:row>25</xdr:row>
      <xdr:rowOff>47625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7296150" y="4514850"/>
          <a:ext cx="137160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="1"/>
            <a:t>Изображение</a:t>
          </a:r>
          <a:endParaRPr lang="en-GB" sz="1100" b="1"/>
        </a:p>
      </xdr:txBody>
    </xdr:sp>
    <xdr:clientData/>
  </xdr:twoCellAnchor>
  <xdr:twoCellAnchor>
    <xdr:from>
      <xdr:col>6</xdr:col>
      <xdr:colOff>247649</xdr:colOff>
      <xdr:row>26</xdr:row>
      <xdr:rowOff>28575</xdr:rowOff>
    </xdr:from>
    <xdr:to>
      <xdr:col>9</xdr:col>
      <xdr:colOff>314324</xdr:colOff>
      <xdr:row>27</xdr:row>
      <xdr:rowOff>133350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6819899" y="4981575"/>
          <a:ext cx="189547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="1">
              <a:solidFill>
                <a:schemeClr val="accent2">
                  <a:lumMod val="75000"/>
                </a:schemeClr>
              </a:solidFill>
            </a:rPr>
            <a:t>Очевидное название</a:t>
          </a:r>
          <a:endParaRPr lang="en-GB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5</xdr:col>
      <xdr:colOff>247651</xdr:colOff>
      <xdr:row>10</xdr:row>
      <xdr:rowOff>19050</xdr:rowOff>
    </xdr:from>
    <xdr:to>
      <xdr:col>7</xdr:col>
      <xdr:colOff>57151</xdr:colOff>
      <xdr:row>12</xdr:row>
      <xdr:rowOff>114300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6210301" y="1924050"/>
          <a:ext cx="102870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ru-RU" sz="1100" b="1">
              <a:solidFill>
                <a:schemeClr val="accent4">
                  <a:lumMod val="75000"/>
                </a:schemeClr>
              </a:solidFill>
            </a:rPr>
            <a:t>Абстрактное</a:t>
          </a:r>
        </a:p>
        <a:p>
          <a:pPr algn="l"/>
          <a:r>
            <a:rPr lang="ru-RU" sz="1100" b="1">
              <a:solidFill>
                <a:schemeClr val="accent4">
                  <a:lumMod val="75000"/>
                </a:schemeClr>
              </a:solidFill>
            </a:rPr>
            <a:t>название</a:t>
          </a:r>
          <a:endParaRPr lang="en-GB" sz="1100" b="1">
            <a:solidFill>
              <a:schemeClr val="accent4">
                <a:lumMod val="75000"/>
              </a:schemeClr>
            </a:solidFill>
          </a:endParaRPr>
        </a:p>
      </xdr:txBody>
    </xdr:sp>
    <xdr:clientData/>
  </xdr:twoCellAnchor>
  <xdr:twoCellAnchor>
    <xdr:from>
      <xdr:col>5</xdr:col>
      <xdr:colOff>428626</xdr:colOff>
      <xdr:row>14</xdr:row>
      <xdr:rowOff>28573</xdr:rowOff>
    </xdr:from>
    <xdr:to>
      <xdr:col>7</xdr:col>
      <xdr:colOff>238126</xdr:colOff>
      <xdr:row>16</xdr:row>
      <xdr:rowOff>123823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 rot="1298735">
          <a:off x="6391276" y="2695573"/>
          <a:ext cx="102870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ru-RU" sz="1100" b="1">
              <a:solidFill>
                <a:schemeClr val="accent6">
                  <a:lumMod val="75000"/>
                </a:schemeClr>
              </a:solidFill>
            </a:rPr>
            <a:t>Остроумное</a:t>
          </a:r>
        </a:p>
        <a:p>
          <a:pPr algn="r"/>
          <a:r>
            <a:rPr lang="ru-RU" sz="1100" b="1">
              <a:solidFill>
                <a:schemeClr val="accent6">
                  <a:lumMod val="75000"/>
                </a:schemeClr>
              </a:solidFill>
            </a:rPr>
            <a:t>название</a:t>
          </a:r>
          <a:endParaRPr lang="en-GB" sz="11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290232</xdr:colOff>
      <xdr:row>18</xdr:row>
      <xdr:rowOff>90940</xdr:rowOff>
    </xdr:from>
    <xdr:to>
      <xdr:col>10</xdr:col>
      <xdr:colOff>512490</xdr:colOff>
      <xdr:row>19</xdr:row>
      <xdr:rowOff>177843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 rot="1225382">
          <a:off x="8081682" y="3519940"/>
          <a:ext cx="1441458" cy="2774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ru-RU" sz="1100" b="1">
              <a:solidFill>
                <a:schemeClr val="accent5">
                  <a:lumMod val="75000"/>
                </a:schemeClr>
              </a:solidFill>
            </a:rPr>
            <a:t>Странное</a:t>
          </a:r>
          <a:r>
            <a:rPr lang="ru-RU" sz="1100" b="1" baseline="0">
              <a:solidFill>
                <a:schemeClr val="accent5">
                  <a:lumMod val="75000"/>
                </a:schemeClr>
              </a:solidFill>
            </a:rPr>
            <a:t> название</a:t>
          </a:r>
          <a:endParaRPr lang="en-GB" sz="11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O41"/>
  <sheetViews>
    <sheetView topLeftCell="A13" zoomScale="85" zoomScaleNormal="85" workbookViewId="0">
      <selection activeCell="B7" sqref="B7"/>
    </sheetView>
  </sheetViews>
  <sheetFormatPr defaultColWidth="3.42578125" defaultRowHeight="15" x14ac:dyDescent="0.25"/>
  <cols>
    <col min="1" max="1" width="3" customWidth="1"/>
    <col min="14" max="15" width="4.140625" bestFit="1" customWidth="1"/>
  </cols>
  <sheetData>
    <row r="2" spans="2:15" ht="78.75" customHeight="1" x14ac:dyDescent="0.25">
      <c r="B2" t="str">
        <f>INDEX(Keys!1:35,1,MATCH(inlang,Keys!2:2,0))</f>
        <v>A</v>
      </c>
      <c r="C2" t="str">
        <f>INDEX(Keys!1:35,1,MATCH(outlang,Keys!2:2,0))</f>
        <v>T</v>
      </c>
      <c r="D2" s="2" t="s">
        <v>161</v>
      </c>
      <c r="E2" s="2" t="s">
        <v>162</v>
      </c>
      <c r="F2" s="2" t="str">
        <f>IF(Machine!H4,Machine!O3,"")</f>
        <v>юеэгиф,нб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 р-к_x000D_
дъ с 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 цтсш</v>
      </c>
      <c r="G2" s="2" t="s">
        <v>163</v>
      </c>
      <c r="H2" s="2" t="str">
        <f>SUBSTITUTE(Machine!O3," ","")</f>
        <v>юеэгиф,нбйчетуэмфрщчфпрыкща_x000D_
юацыюнцжшрюьжшщцдьцпъцъффс_x000D_
аэзицпмпумгыьрпцюттфсакбр_x000D_
ламевглущнцрзсюехкшшчблщ_x000D_
тфифзеэыщли"жбэщоньхдъэьч_x000D_
йайнсшфгмщжбажхьийауцжьгъ_x000D_
ыщйырруарювюивйхчткэсэпш_x000D_
-ылчээпхьхбьэбктрыдъофиъыл_x000D_
-дхолеыжзжжщдзхп-еетщагч_x000D_
юпщкоднпепацйомнпуфжюэм_x000D_
бчшщыучпмжгефжсоюегыжыеб_x000D_
лщбфтнмцбшрьцпюдиъшрыво_x000D_
щбфтатрххгйютвщьъыздшты_x000D_
йаналчсъкчгшосикснэфдеас_x000D_
бцрвъвгйусчоэсмцшпзщуллозфю_x000D_
ннзщи-срьмшнсооввюфвмпрн_x000D_
гйьиърсдлэбгыхчюнэтплущшэ_x000D_
роэшъ,ъ-эвефжъюойжщюркь_x000D_
ънежучйззгеьоов"ххлдйпи_x000D_
южыщйъгссзжцездцсрцлршшиь_x000D_
иезютпъътьвчплюзьзглюуны_x000D_
ыдсыьъимккнюьбэъжоцючэщ_x000D_
вимртюсъъычъйитэзфьуезр-к_x000D_
дъсмботпдшмбдюдксиймдгэф_x000D_
вьлщслд"гепржьцкечьюекю,м_x000D_
фючзэчэпсщэфочцъзи,огдэмцш_x000D_
щуилмсбрдчраььдсндървечтв_x000D_
мюжщожр-еджющлэб,мсвбэхекцц_x000D_
ьщзквбъпъдщтшеуйкщрвжзм_x000D_
нрчпу,ьэфзььффжъотшнсоит_x000D_
шрохиш,скмшчюкгчтьчоэ_x000D_
лшнщчюедтщ"гфэлщежпгукси-_x000D_
иъвтъмрулрорхпчаъгпщчечф_x000D_
нуаусыьртузйэкъьврлзбхпюсф_x000D_
пю,ймтюртщюпчъпфйеырпнффп_x000D_
мевчзытэгбюйщезйхущэоввжч_x000D_
ыузсогщшзхщэуэуыхерууццхъд_x000D_
щнчфшдмпввушакйфаоъчюмым_x000D_
хръхизпфддодххпбзчщеыкьк_x000D_
мэйшйн,сищавгсэъжииэхюшх_x000D_
"ьффпщухвщуфызъьрбцббсиивве_x000D_
шэайюэкрикчсзибетыхындшщ_x000D_
плреанньшгюнъопэччэщэснтлз_x000D_
муещйойччжзбнъшдвгпнгххы_x000D_
иррылхыисбсдчнсэъьвгйду_x000D_
сълвлд"ж-выднфпсччвцорцтсш</v>
      </c>
      <c r="J2">
        <f ca="1">LEN(J3)</f>
        <v>1220</v>
      </c>
    </row>
    <row r="3" spans="2:15" x14ac:dyDescent="0.25">
      <c r="D3" s="1" t="str">
        <f ca="1">IFERROR(INDIRECT("Keys!"&amp;$B$2 &amp; ROW(B3),TRUE),"")</f>
        <v>й</v>
      </c>
      <c r="E3" s="1" t="str">
        <f ca="1">IFERROR(INDIRECT("Keys!"&amp;$C$2 &amp; ROW(C3),TRUE),"")</f>
        <v>ஆ</v>
      </c>
      <c r="F3" s="1" t="str">
        <f ca="1">SUBSTITUTE(F2,D3,E3)</f>
        <v>юеэгиф,нб ஆчету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ஆ аஆ нс шфгмщжбажх ьиஆауцж ь гъ_x000D_
ыщஆ ырру арю вюи вஆ х ч ткэсэпш_x000D_
- ылчээпх ьхбьэб ктры дъо фиъыл_x000D_
-д хол е ыж зжжщд зхп -е етщагч_x000D_
ю пщко д нпе пацஆ о мнпу фжю эм_x000D_
бч шщ ыучпмжге фжсо юе г ыжы еб_x000D_
л щбфт нм цбшрь цп ю диъш р ыво_x000D_
щбф т атр х хгஆ ютв щьъы здш ты_x000D_
ஆан а лчсъ к чгшо с ик снэфдеас_x000D_
бцрвъв гஆ у счоэсмцшпзщ уллозфю_x000D_
нн зщ и- с рьмш нсооввюф вм прн_x000D_
гஆьиърсд лэб гы хчю н этплу щшэ_x000D_
роэш ъ,ъ-эвеф ж ъ юо ஆж щю р кь_x000D_
ън ежучஆ з згеь оо в"х хлд ஆ пи_x000D_
южыщஆъг сс зж цездц срц лрш шиь_x000D_
иез ют пъ ъ тьвч плюзьзг люу ны_x000D_
ы д сы ьъ им ккнюьбэ ъ жоц ючэщ_x000D_
в им ртюсъъы чъஆитэзфь уе з р-к_x000D_
дъ с мбот п дшмбд юдк с иஆмдгэф_x000D_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ஆ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уаусыьртузஆэкъь в р лзбхп юсф_x000D_
пю,ஆ м тю р тщюп чъпфஆеыр пнффп_x000D_
мевчзы тэ г бюஆщ езஆхущэ о ввжч_x000D_
ыуз сог щшзхщэу эу ыхеруу ццхъд_x000D_
щ нчфш дмпвву шак ஆф а оъ чюмым_x000D_
хръ х и зпфддод х хпб з чщеыкьк_x000D_
м эஆш ஆн, с ищав гс эъжии эхюшх_x000D_
"ьффпщухв щ уфыз ъьрбцббсии вве_x000D_
шэаஆ юэ крик чс з и бетых ындшщ_x000D_
плреанньш гю н ъопэччэщэ сн тлз_x000D_
му ещஆоஆччж зб нъ шд в гпн гххы_x000D_
ирр ыл хы исбсдч н с э ъ ьвгஆду_x000D_
сълвлд" ж-выд нфпс ччв цор цтсш</v>
      </c>
      <c r="G3" s="1">
        <v>1</v>
      </c>
      <c r="H3" s="1" t="str">
        <f ca="1">SUBSTITUTE(H2,D3,G3)</f>
        <v>юеэгиф,нб1четуэмфрщчфпрыкща_x000D_
юацыюнцжшрюьжшщцдьцпъцъффс_x000D_
аэзицпмпумгыьрпцюттфсакбр_x000D_
ламевглущнцрзсюехкшшчблщ_x000D_
тфифзеэыщли"жбэщоньхдъэьч_x000D_
1а1нсшфгмщжбажхьи1ауцжьгъ_x000D_
ыщ1ырруарювюив1хчткэсэпш_x000D_
-ылчээпхьхбьэбктрыдъофиъыл_x000D_
-дхолеыжзжжщдзхп-еетщагч_x000D_
юпщкоднпепац1омнпуфжюэм_x000D_
бчшщыучпмжгефжсоюегыжыеб_x000D_
лщбфтнмцбшрьцпюдиъшрыво_x000D_
щбфтатрххг1ютвщьъыздшты_x000D_
1аналчсъкчгшосикснэфдеас_x000D_
бцрвъвг1усчоэсмцшпзщуллозфю_x000D_
ннзщи-срьмшнсооввюфвмпрн_x000D_
г1ьиърсдлэбгыхчюнэтплущшэ_x000D_
роэшъ,ъ-эвефжъюо1жщюркь_x000D_
ънежуч1ззгеьоов"ххлд1пи_x000D_
южыщ1ъгссзжцездцсрцлршшиь_x000D_
иезютпъътьвчплюзьзглюуны_x000D_
ыдсыьъимккнюьбэъжоцючэщ_x000D_
вимртюсъъычъ1итэзфьуезр-к_x000D_
дъсмботпдшмбдюдкси1мдгэф_x000D_
вьлщслд"гепржьцкечьюекю,м_x000D_
фючзэчэпсщэфочцъзи,огдэмцш_x000D_
щуилмсбрдчраььдсндървечтв_x000D_
мюжщожр-еджющлэб,мсвбэхекцц_x000D_
ьщзквбъпъдщтшеу1кщрвжзм_x000D_
нрчпу,ьэфзььффжъотшнсоит_x000D_
шрохиш,скмшчюкгчтьчоэ_x000D_
лшнщчюедтщ"гфэлщежпгукси-_x000D_
иъвтъмрулрорхпчаъгпщчечф_x000D_
нуаусыьртуз1экъьврлзбхпюсф_x000D_
пю,1мтюртщюпчъпф1еырпнффп_x000D_
мевчзытэгбю1щез1хущэоввжч_x000D_
ыузсогщшзхщэуэуыхерууццхъд_x000D_
щнчфшдмпввушак1фаоъчюмым_x000D_
хръхизпфддодххпбзчщеыкьк_x000D_
мэ1ш1н,сищавгсэъжииэхюшх_x000D_
"ьффпщухвщуфызъьрбцббсиивве_x000D_
шэа1юэкрикчсзибетыхындшщ_x000D_
плреанньшгюнъопэччэщэснтлз_x000D_
муещ1о1ччжзбнъшдвгпнгххы_x000D_
иррылхыисбсдчнсэъьвг1ду_x000D_
сълвлд"ж-выднфпсччвцорцтсш</v>
      </c>
      <c r="I3" t="s">
        <v>9</v>
      </c>
      <c r="J3" s="38" t="str">
        <f ca="1">H35</f>
        <v>261402,52156011428752789271_x000D_
21492548682086745047848229_x000D_
1190474714490874200291228_x000D_
314634317548992632665237_x000D_
02029619730"8217650358105_x000D_
1115962447821830011148048_x000D_
971988118232031350219176_x000D_
-9351173032012208958620893_x000D_
-536369898875937-6607145_x000D_
27726557671416457128214_x000D_
256791574846289626498962_x000D_
37220544268047250868936_x000D_
72201083341203708995609_x000D_
115135982546690295125619_x000D_
248383411956194467971336922_x000D_
55970-980465966332234785_x000D_
4100889531249352510731761_x000D_
86168,8-136288261872820_x000D_
856815199460663"3335170_x000D_
2897184999846954984386600_x000D_
069207880035732909432159_x000D_
95990804225202188642517_x000D_
30480298895810019201698-2_x000D_
589426075642525290145412_x000D_
3037935"467880426502622,4_x000D_
225915179712654890,6451446_x000D_
7103492855810059558836503_x000D_
4287688-65827312,4932136244_x000D_
07923287857066112783894_x000D_
58571,012900228860659600_x000D_
686306,92465224500561_x000D_
3657526507"4213768741290-_x000D_
083084813868375184775652_x000D_
51119908019112803839237292_x000D_
72,1402807275872169875227_x000D_
4635990142217691317163385_x000D_
91996476937111193681144385_x000D_
755265473316121216852494_x000D_
388309725565337295769202_x000D_
411615,90713491880013263_x000D_
"02277133712998082422900336_x000D_
611121280259902609395567_x000D_
73861550642586715517195039_x000D_
416716155892586534754339_x000D_
08893390929555918034151_x000D_
983335"8-39552795534684096</v>
      </c>
      <c r="L3">
        <f ca="1">IF(ROW(K3)-2&lt;LEN($J$3)/2,_xlfn.NUMBERVALUE(MID($J$3,ROW(K3)-2,1)),"")</f>
        <v>2</v>
      </c>
      <c r="M3">
        <f ca="1">IF(ROW(K3)-2&lt;LEN($J$3)/2,_xlfn.NUMBERVALUE(MID($J$3,LEN($J$3)-(ROW(K3)-3),1)),"")</f>
        <v>6</v>
      </c>
      <c r="N3">
        <f ca="1">SUM(L:L)</f>
        <v>147</v>
      </c>
      <c r="O3" t="e">
        <f ca="1">SUM(M:M)</f>
        <v>#VALUE!</v>
      </c>
    </row>
    <row r="4" spans="2:15" x14ac:dyDescent="0.25">
      <c r="D4" s="1" t="str">
        <f t="shared" ref="D4:D36" ca="1" si="0">IFERROR(INDIRECT("Keys!"&amp;$B$2 &amp; ROW(B4),TRUE),"")</f>
        <v>ц</v>
      </c>
      <c r="E4" s="1" t="str">
        <f t="shared" ref="E4:E36" ca="1" si="1">IFERROR(INDIRECT("Keys!"&amp;$C$2 &amp; ROW(C4),TRUE),"")</f>
        <v>ஈ</v>
      </c>
      <c r="F4" s="1" t="str">
        <f t="shared" ref="F4:F36" ca="1" si="2">SUBSTITUTE(F3,D4,E4)</f>
        <v>юеэгиф,нб ஆчету эмф р щчфпр ыкща_x000D_
юаஈыюн ஈжшрюьж шщஈ дь ஈпъஈ ъффс_x000D_
а эзи ஈп м п умгыь рпஈюттфсакбр_x000D_
л ам е вглу щнஈ рз сюехкшш чблщ_x000D_
т фи фзе эыщли"жбэщ он ьх дъэьч_x000D_
ஆ аஆ нс шфгмщжбажх ьиஆауஈж ь гъ_x000D_
ыщஆ ырру арю вюи вஆ х ч ткэсэпш_x000D_
- ылчээпх ьхбьэб ктры дъо фиъыл_x000D_
-д хол е ыж зжжщд зхп -е етщагч_x000D_
ю пщко д нпе паஈஆ о мнпу фжю эм_x000D_
бч шщ ыучпмжге фжсо юе г ыжы еб_x000D_
л щбфт нм ஈбшрь ஈп ю диъш р ыво_x000D_
щбф т атр х хгஆ ютв щьъы здш ты_x000D_
ஆан а лчсъ к чгшо с ик снэфдеас_x000D_
бஈрвъв гஆ у счоэсмஈшпзщ уллозфю_x000D_
нн зщ и- с рьмш нсооввюф вм прн_x000D_
гஆьиърсд лэб гы хчю н этплу щшэ_x000D_
роэш ъ,ъ-эвеф ж ъ юо ஆж щю р кь_x000D_
ън ежучஆ з згеь оо в"х хлд ஆ пи_x000D_
южыщஆъг сс зж ஈездஈ срஈ лрш шиь_x000D_
иез ют пъ ъ тьвч плюзьзг люу ны_x000D_
ы д сы ьъ им ккнюьбэ ъ жоஈ ючэщ_x000D_
в им ртюсъъы чъஆитэзфь уе з р-к_x000D_
дъ с мбот п дшмбд юдк с иஆмдгэф_x000D_
вьлщс лд"ге п р жь ஈкечьюе кю,м_x000D_
ф ючзэчэпс щэфочஈ ъзи,ог д эмஈш_x000D_
щуилмсбр д чр аььдс н дърв ечтв_x000D_
мюжщожр-еджющ лэб,м с в бэхекஈஈ_x000D_
ьщзквбъпъ дщт ш еу ஆ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уаусыьртузஆэкъь в р лзбхп юсф_x000D_
пю,ஆ м тю р тщюп чъпфஆеыр пнффп_x000D_
мевчзы тэ г бюஆщ езஆхущэ о ввжч_x000D_
ыуз сог щшзхщэу эу ыхеруу ஈஈхъд_x000D_
щ нчфш дмпвву шак ஆф а оъ чюмым_x000D_
хръ х и зпфддод х хпб з чщеыкьк_x000D_
м эஆш ஆн, с ищав гс эъжии эхюшх_x000D_
"ьффпщухв щ уфыз ъьрбஈббсии вве_x000D_
шэаஆ юэ крик чс з и бетых ындшщ_x000D_
плреанньш гю н ъопэччэщэ сн тлз_x000D_
му ещஆоஆччж зб нъ шд в гпн гххы_x000D_
ирр ыл хы исбсдч н с э ъ ьвгஆду_x000D_
сълвлд" ж-выд нфпс ччв ஈор ஈтсш</v>
      </c>
      <c r="G4" s="1">
        <v>4</v>
      </c>
      <c r="H4" s="1" t="str">
        <f t="shared" ref="H4:H36" ca="1" si="3">SUBSTITUTE(H3,D4,G4)</f>
        <v>юеэгиф,нб1четуэмфрщчфпрыкща_x000D_
юа4ыюн4жшрюьжшщ4дь4пъ4ъффс_x000D_
аэзи4пмпумгыьрп4юттфсакбр_x000D_
ламевглущн4рзсюехкшшчблщ_x000D_
тфифзеэыщли"жбэщоньхдъэьч_x000D_
1а1нсшфгмщжбажхьи1ау4жьгъ_x000D_
ыщ1ырруарювюив1хчткэсэпш_x000D_
-ылчээпхьхбьэбктрыдъофиъыл_x000D_
-дхолеыжзжжщдзхп-еетщагч_x000D_
юпщкоднпепа41омнпуфжюэм_x000D_
бчшщыучпмжгефжсоюегыжыеб_x000D_
лщбфтнм4бшрь4пюдиъшрыво_x000D_
щбфтатрххг1ютвщьъыздшты_x000D_
1аналчсъкчгшосикснэфдеас_x000D_
б4рвъвг1усчоэсм4шпзщуллозфю_x000D_
ннзщи-срьмшнсооввюфвмпрн_x000D_
г1ьиърсдлэбгыхчюнэтплущшэ_x000D_
роэшъ,ъ-эвефжъюо1жщюркь_x000D_
ънежуч1ззгеьоов"ххлд1пи_x000D_
южыщ1ъгссзж4езд4ср4лршшиь_x000D_
иезютпъътьвчплюзьзглюуны_x000D_
ыдсыьъимккнюьбэъжо4ючэщ_x000D_
вимртюсъъычъ1итэзфьуезр-к_x000D_
дъсмботпдшмбдюдкси1мдгэф_x000D_
вьлщслд"гепржь4кечьюекю,м_x000D_
фючзэчэпсщэфоч4ъзи,огдэм4ш_x000D_
щуилмсбрдчраььдсндървечтв_x000D_
мюжщожр-еджющлэб,мсвбэхек44_x000D_
ьщзквбъпъдщтшеу1кщрвжзм_x000D_
нрчпу,ьэфзььффжъотшнсоит_x000D_
шрохиш,скмшчюкгчтьчоэ_x000D_
лшнщчюедтщ"гфэлщежпгукси-_x000D_
иъвтъмрулрорхпчаъгпщчечф_x000D_
нуаусыьртуз1экъьврлзбхпюсф_x000D_
пю,1мтюртщюпчъпф1еырпнффп_x000D_
мевчзытэгбю1щез1хущэоввжч_x000D_
ыузсогщшзхщэуэуыхеруу44хъд_x000D_
щнчфшдмпввушак1фаоъчюмым_x000D_
хръхизпфддодххпбзчщеыкьк_x000D_
мэ1ш1н,сищавгсэъжииэхюшх_x000D_
"ьффпщухвщуфызъьрб4ббсиивве_x000D_
шэа1юэкрикчсзибетыхындшщ_x000D_
плреанньшгюнъопэччэщэснтлз_x000D_
муещ1о1ччжзбнъшдвгпнгххы_x000D_
иррылхыисбсдчнсэъьвг1ду_x000D_
сълвлд"ж-выднфпсччв4ор4тсш</v>
      </c>
      <c r="I4" t="s">
        <v>9</v>
      </c>
      <c r="J4" s="38"/>
      <c r="L4">
        <f t="shared" ref="L4:L41" ca="1" si="4">IF(ROW(K4)-2&lt;LEN($J$3)/2,_xlfn.NUMBERVALUE(MID($J$3,ROW(K4)-2,1)),"")</f>
        <v>6</v>
      </c>
      <c r="M4">
        <f t="shared" ref="M4:M41" ca="1" si="5">IF(ROW(K4)-2&lt;LEN($J$3)/2,_xlfn.NUMBERVALUE(MID($J$3,LEN($J$3)-(ROW(K4)-3),1)),"")</f>
        <v>9</v>
      </c>
      <c r="N4" s="5">
        <f ca="1">_xlfn.NUMBERVALUE(RIGHT(N3*IF(L3=0,L4,L3),3))</f>
        <v>294</v>
      </c>
      <c r="O4" s="5" t="e">
        <f ca="1">_xlfn.NUMBERVALUE(RIGHT(O3*IF(M3=0,M4,M3),3))</f>
        <v>#VALUE!</v>
      </c>
    </row>
    <row r="5" spans="2:15" x14ac:dyDescent="0.25">
      <c r="D5" s="1" t="str">
        <f t="shared" ca="1" si="0"/>
        <v>у</v>
      </c>
      <c r="E5" s="1" t="str">
        <f t="shared" ca="1" si="1"/>
        <v>ஊ</v>
      </c>
      <c r="F5" s="1" t="str">
        <f t="shared" ca="1" si="2"/>
        <v>юеэгиф,нб ஆчетஊ эмф р щчфпр ыкща_x000D_
юаஈыюн ஈжшрюьж шщஈ дь ஈпъஈ ъффс_x000D_
а эзи ஈп м п ஊмгыь рпஈюттфсакбр_x000D_
л ам е вглஊ щнஈ рз сюехкшш чблщ_x000D_
т фи фзе эыщли"жбэщ он ьх дъэьч_x000D_
ஆ аஆ нс шфгмщжбажх ьиஆаஊஈж ь гъ_x000D_
ыщஆ ыррஊ арю вюи вஆ х ч ткэсэпш_x000D_
- ылчээпх ьхбьэб ктры дъо фиъыл_x000D_
-д хол е ыж зжжщд зхп -е етщагч_x000D_
ю пщко д нпе паஈஆ о мнпஊ фжю эм_x000D_
бч шщ ыஊчпмжге фжсо юе г ыжы еб_x000D_
л щбфт нм ஈбшрь ஈп ю диъш р ыво_x000D_
щбф т атр х хгஆ ютв щьъы здш ты_x000D_
ஆан а лчсъ к чгшо с ик снэфдеас_x000D_
бஈрвъв гஆ ஊ счоэсмஈшпзщ ஊллозфю_x000D_
нн зщ и- с рьмш нсооввюф вм прн_x000D_
гஆьиърсд лэб гы хчю н этплஊ щшэ_x000D_
роэш ъ,ъ-эвеф ж ъ юо ஆж щю р кь_x000D_
ън ежஊчஆ з згеь оо в"х хлд ஆ пи_x000D_
южыщஆъг сс зж ஈездஈ срஈ лрш шиь_x000D_
иез ют пъ ъ тьвч плюзьзг люஊ ны_x000D_
ы д сы ьъ им ккнюьбэ ъ жоஈ ючэщ_x000D_
в им ртюсъъы чъஆитэзфь ஊе з р-к_x000D_
дъ с мбот п дшмбд юдк с иஆмдгэф_x000D_
вьлщс лд"ге п р жь ஈкечьюе кю,м_x000D_
ф ючзэчэпс щэфочஈ ъзи,ог д эмஈш_x000D_
щஊилмсбр д чр аььдс н дърв ечтв_x000D_
мюжщожр-еджющ лэб,м с в бэхекஈஈ_x000D_
ьщзквбъпъ дщт ш еஊ ஆ к щ рвж зм_x000D_
н рч п ஊ, ь эфзь ьффжъотш нсоит_x000D_
шр ох иш, с км ш чю кг ч т ьчоэ_x000D_
л шнщч юедт щ"г фэл щежпгஊ кси-_x000D_
и ъв тъмр ஊл рорхпч аъ гпщч ечф_x000D_
н ஊаஊсыьртஊзஆэкъь в р лзбхп юсф_x000D_
пю,ஆ м тю р тщюп чъпфஆеыр пнффп_x000D_
мевчзы тэ г бюஆщ езஆхஊщэ о ввжч_x000D_
ыஊз сог щшзхщэஊ эஊ ыхерஊஊ ஈஈхъд_x000D_
щ нчфш дмпввஊ шак ஆф а оъ чюмым_x000D_
хръ х и зпфддод х хпб з чщеыкьк_x000D_
м эஆш ஆн, с ищав гс эъжии эхюшх_x000D_
"ьффпщஊхв щ ஊфыз ъьрбஈббсии вве_x000D_
шэаஆ юэ крик чс з и бетых ындшщ_x000D_
плреанньш гю н ъопэччэщэ сн тлз_x000D_
мஊ ещஆоஆччж зб нъ шд в гпн гххы_x000D_
ирр ыл хы исбсдч н с э ъ ьвгஆдஊ_x000D_
сълвлд" ж-выд нфпс ччв ஈор ஈтсш</v>
      </c>
      <c r="G5" s="1">
        <v>1</v>
      </c>
      <c r="H5" s="1" t="str">
        <f t="shared" ca="1" si="3"/>
        <v>юеэгиф,нб1чет1эмфрщчфпрыкща_x000D_
юа4ыюн4жшрюьжшщ4дь4пъ4ъффс_x000D_
аэзи4пмп1мгыьрп4юттфсакбр_x000D_
ламевгл1щн4рзсюехкшшчблщ_x000D_
тфифзеэыщли"жбэщоньхдъэьч_x000D_
1а1нсшфгмщжбажхьи1а14жьгъ_x000D_
ыщ1ырр1арювюив1хчткэсэпш_x000D_
-ылчээпхьхбьэбктрыдъофиъыл_x000D_
-дхолеыжзжжщдзхп-еетщагч_x000D_
юпщкоднпепа41омнп1фжюэм_x000D_
бчшщы1чпмжгефжсоюегыжыеб_x000D_
лщбфтнм4бшрь4пюдиъшрыво_x000D_
щбфтатрххг1ютвщьъыздшты_x000D_
1аналчсъкчгшосикснэфдеас_x000D_
б4рвъвг11счоэсм4шпзщ1ллозфю_x000D_
ннзщи-срьмшнсооввюфвмпрн_x000D_
г1ьиърсдлэбгыхчюнэтпл1щшэ_x000D_
роэшъ,ъ-эвефжъюо1жщюркь_x000D_
ънеж1ч1ззгеьоов"ххлд1пи_x000D_
южыщ1ъгссзж4езд4ср4лршшиь_x000D_
иезютпъътьвчплюзьзглю1ны_x000D_
ыдсыьъимккнюьбэъжо4ючэщ_x000D_
вимртюсъъычъ1итэзфь1езр-к_x000D_
дъсмботпдшмбдюдкси1мдгэф_x000D_
вьлщслд"гепржь4кечьюекю,м_x000D_
фючзэчэпсщэфоч4ъзи,огдэм4ш_x000D_
щ1илмсбрдчраььдсндървечтв_x000D_
мюжщожр-еджющлэб,мсвбэхек44_x000D_
ьщзквбъпъдщтше11кщрвжзм_x000D_
нрчп1,ьэфзььффжъотшнсоит_x000D_
шрохиш,скмшчюкгчтьчоэ_x000D_
лшнщчюедтщ"гфэлщежпг1кси-_x000D_
иъвтъмр1лрорхпчаъгпщчечф_x000D_
н1а1сыьрт1з1экъьврлзбхпюсф_x000D_
пю,1мтюртщюпчъпф1еырпнффп_x000D_
мевчзытэгбю1щез1х1щэоввжч_x000D_
ы1зсогщшзхщэ1э1ыхер1144хъд_x000D_
щнчфшдмпвв1шак1фаоъчюмым_x000D_
хръхизпфддодххпбзчщеыкьк_x000D_
мэ1ш1н,сищавгсэъжииэхюшх_x000D_
"ьффпщ1хвщ1фызъьрб4ббсиивве_x000D_
шэа1юэкрикчсзибетыхындшщ_x000D_
плреанньшгюнъопэччэщэснтлз_x000D_
м1ещ1о1ччжзбнъшдвгпнгххы_x000D_
иррылхыисбсдчнсэъьвг1д1_x000D_
сълвлд"ж-выднфпсччв4ор4тсш</v>
      </c>
      <c r="I5" t="s">
        <v>9</v>
      </c>
      <c r="J5" s="38"/>
      <c r="L5">
        <f t="shared" ca="1" si="4"/>
        <v>1</v>
      </c>
      <c r="M5">
        <f t="shared" ca="1" si="5"/>
        <v>0</v>
      </c>
      <c r="N5" s="27">
        <f ca="1">IF(N4&gt;0,N4,N3)</f>
        <v>294</v>
      </c>
      <c r="O5" s="27" t="e">
        <f ca="1">IF(O4&gt;0,O4,O3)</f>
        <v>#VALUE!</v>
      </c>
    </row>
    <row r="6" spans="2:15" x14ac:dyDescent="0.25">
      <c r="D6" s="1" t="str">
        <f t="shared" ca="1" si="0"/>
        <v>к</v>
      </c>
      <c r="E6" s="1" t="str">
        <f t="shared" ca="1" si="1"/>
        <v>ஐ</v>
      </c>
      <c r="F6" s="1" t="str">
        <f t="shared" ca="1" si="2"/>
        <v>юеэгиф,нб ஆчетஊ эмф р щчфпр ыஐща_x000D_
юаஈыюн ஈжшрюьж шщஈ дь ஈпъஈ ъффс_x000D_
а эзи ஈп м п ஊмгыь рпஈюттфсаஐбр_x000D_
л ам е вглஊ щнஈ рз сюехஐшш чблщ_x000D_
т фи фзе эыщли"жбэщ он ьх дъэьч_x000D_
ஆ аஆ нс шфгмщжбажх ьиஆаஊஈж ь гъ_x000D_
ыщஆ ыррஊ арю вюи вஆ х ч тஐэсэпш_x000D_
- ылчээпх ьхбьэб ஐтры дъо фиъыл_x000D_
-д хол е ыж зжжщд зхп -е етщагч_x000D_
ю пщஐо д нпе паஈஆ о мнпஊ фжю эм_x000D_
бч шщ ыஊчпмжге фжсо юе г ыжы еб_x000D_
л щбфт нм ஈбшрь ஈп ю диъш р ыво_x000D_
щбф т атр х хгஆ ютв щьъы здш ты_x000D_
ஆан а лчсъ ஐ чгшо с иஐ снэфдеас_x000D_
бஈрвъв гஆ ஊ счоэсмஈшпзщ ஊллозфю_x000D_
нн зщ и- с рьмш нсооввюф вм прн_x000D_
гஆьиърсд лэб гы хчю н этплஊ щшэ_x000D_
роэш ъ,ъ-эвеф ж ъ юо ஆж щю р ஐь_x000D_
ън ежஊчஆ з згеь оо в"х хлд ஆ пи_x000D_
южыщஆъг сс зж ஈездஈ срஈ лрш шиь_x000D_
иез ют пъ ъ тьвч плюзьзг люஊ ны_x000D_
ы д сы ьъ им ஐஐнюьбэ ъ жоஈ ючэщ_x000D_
в им ртюсъъы чъஆитэзфь ஊе з р-ஐ_x000D_
дъ с мбот п дшмбд юдஐ с иஆмдгэф_x000D_
вьлщс лд"ге п р жь ஈஐечьюе ஐю,м_x000D_
ф ючзэчэпс щэфочஈ ъзи,ог д эмஈш_x000D_
щஊилмсбр д чр аььдс н дърв ечтв_x000D_
мюжщожр-еджющ лэб,м с в бэхеஐஈஈ_x000D_
ьщзஐвбъпъ дщт ш еஊ ஆ ஐ щ рвж зм_x000D_
н рч п ஊ, ь эфзь ьффжъотш нсоит_x000D_
шр ох иш, с ஐм ш чю ஐг ч т ьчоэ_x000D_
л шнщч юедт щ"г фэл щежпгஊ ஐси-_x000D_
и ъв тъмр ஊл рорхпч аъ гпщч ечф_x000D_
н ஊаஊсыьртஊзஆэஐъь в р лзбхп юсф_x000D_
пю,ஆ м тю р тщюп чъпфஆеыр пнффп_x000D_
мевчзы тэ г бюஆщ езஆхஊщэ о ввжч_x000D_
ыஊз сог щшзхщэஊ эஊ ыхерஊஊ ஈஈхъд_x000D_
щ нчфш дмпввஊ шаஐ ஆф а оъ чюмым_x000D_
хръ х и зпфддод х хпб з чщеыஐьஐ_x000D_
м эஆш ஆн, с ищав гс эъжии эхюшх_x000D_
"ьффпщஊхв щ ஊфыз ъьрбஈббсии вве_x000D_
шэаஆ юэ ஐриஐ чс з и бетых ындшщ_x000D_
плреанньш гю н ъопэччэщэ сн тлз_x000D_
мஊ ещஆоஆччж зб нъ шд в гпн гххы_x000D_
ирр ыл хы исбсдч н с э ъ ьвгஆдஊ_x000D_
сълвлд" ж-выд нфпс ччв ஈор ஈтсш</v>
      </c>
      <c r="G6" s="1">
        <v>2</v>
      </c>
      <c r="H6" s="1" t="str">
        <f t="shared" ca="1" si="3"/>
        <v>юеэгиф,нб1чет1эмфрщчфпры2ща_x000D_
юа4ыюн4жшрюьжшщ4дь4пъ4ъффс_x000D_
аэзи4пмп1мгыьрп4юттфса2бр_x000D_
ламевгл1щн4рзсюех2шшчблщ_x000D_
тфифзеэыщли"жбэщоньхдъэьч_x000D_
1а1нсшфгмщжбажхьи1а14жьгъ_x000D_
ыщ1ырр1арювюив1хчт2эсэпш_x000D_
-ылчээпхьхбьэб2трыдъофиъыл_x000D_
-дхолеыжзжжщдзхп-еетщагч_x000D_
юпщ2однпепа41омнп1фжюэм_x000D_
бчшщы1чпмжгефжсоюегыжыеб_x000D_
лщбфтнм4бшрь4пюдиъшрыво_x000D_
щбфтатрххг1ютвщьъыздшты_x000D_
1аналчсъ2чгшоси2снэфдеас_x000D_
б4рвъвг11счоэсм4шпзщ1ллозфю_x000D_
ннзщи-срьмшнсооввюфвмпрн_x000D_
г1ьиърсдлэбгыхчюнэтпл1щшэ_x000D_
роэшъ,ъ-эвефжъюо1жщюр2ь_x000D_
ънеж1ч1ззгеьоов"ххлд1пи_x000D_
южыщ1ъгссзж4езд4ср4лршшиь_x000D_
иезютпъътьвчплюзьзглю1ны_x000D_
ыдсыьъим22нюьбэъжо4ючэщ_x000D_
вимртюсъъычъ1итэзфь1езр-2_x000D_
дъсмботпдшмбдюд2си1мдгэф_x000D_
вьлщслд"гепржь42ечьюе2ю,м_x000D_
фючзэчэпсщэфоч4ъзи,огдэм4ш_x000D_
щ1илмсбрдчраььдсндървечтв_x000D_
мюжщожр-еджющлэб,мсвбэхе244_x000D_
ьщз2вбъпъдщтше112щрвжзм_x000D_
нрчп1,ьэфзььффжъотшнсоит_x000D_
шрохиш,с2мшчю2гчтьчоэ_x000D_
лшнщчюедтщ"гфэлщежпг12си-_x000D_
иъвтъмр1лрорхпчаъгпщчечф_x000D_
н1а1сыьрт1з1э2ъьврлзбхпюсф_x000D_
пю,1мтюртщюпчъпф1еырпнффп_x000D_
мевчзытэгбю1щез1х1щэоввжч_x000D_
ы1зсогщшзхщэ1э1ыхер1144хъд_x000D_
щнчфшдмпвв1ша21фаоъчюмым_x000D_
хръхизпфддодххпбзчщеы2ь2_x000D_
мэ1ш1н,сищавгсэъжииэхюшх_x000D_
"ьффпщ1хвщ1фызъьрб4ббсиивве_x000D_
шэа1юэ2ри2чсзибетыхындшщ_x000D_
плреанньшгюнъопэччэщэснтлз_x000D_
м1ещ1о1ччжзбнъшдвгпнгххы_x000D_
иррылхыисбсдчнсэъьвг1д1_x000D_
сълвлд"ж-выднфпсччв4ор4тсш</v>
      </c>
      <c r="I6" t="s">
        <v>9</v>
      </c>
      <c r="J6" s="38"/>
      <c r="L6">
        <f t="shared" ca="1" si="4"/>
        <v>4</v>
      </c>
      <c r="M6">
        <f t="shared" ca="1" si="5"/>
        <v>4</v>
      </c>
    </row>
    <row r="7" spans="2:15" x14ac:dyDescent="0.25">
      <c r="D7" s="1" t="str">
        <f t="shared" ca="1" si="0"/>
        <v>е</v>
      </c>
      <c r="E7" s="1" t="str">
        <f t="shared" ca="1" si="1"/>
        <v>ஏ</v>
      </c>
      <c r="F7" s="1" t="str">
        <f t="shared" ca="1" si="2"/>
        <v>юஏэгиф,нб ஆчஏтஊ эмф р щчфпр ыஐща_x000D_
юаஈыюн ஈжшрюьж шщஈ дь ஈпъஈ ъффс_x000D_
а эзи ஈп м п ஊмгыь рпஈюттфсаஐбр_x000D_
л ам ஏ вглஊ щнஈ рз сюஏхஐшш чблщ_x000D_
т фи фзஏ эыщли"жбэщ он ьх дъэьч_x000D_
ஆ аஆ нс шфгмщжбажх ьиஆаஊஈж ь гъ_x000D_
ыщஆ ыррஊ арю вюи вஆ х ч тஐэсэпш_x000D_
- ылчээпх ьхбьэб ஐтры дъо фиъыл_x000D_
-д хол ஏ ыж зжжщд зхп -ஏ ஏтщагч_x000D_
ю пщஐо д нпஏ паஈஆ о мнпஊ фжю эм_x000D_
бч шщ ыஊчпмжгஏ фжсо юஏ г ыжы ஏб_x000D_
л щбфт нм ஈбшрь ஈп ю диъш р ыво_x000D_
щбф т атр х хгஆ ютв щьъы здш ты_x000D_
ஆан а лчсъ ஐ чгшо с иஐ снэфдஏас_x000D_
бஈрвъв гஆ ஊ счоэсмஈшпзщ ஊллозфю_x000D_
нн зщ и- с рьмш нсооввюф вм прн_x000D_
гஆьиърсд лэб гы хчю н этплஊ щшэ_x000D_
роэш ъ,ъ-эвஏф ж ъ юо ஆж щю р ஐь_x000D_
ън ஏжஊчஆ з згஏь оо в"х хлд ஆ пи_x000D_
южыщஆъг сс зж ஈஏздஈ срஈ лрш шиь_x000D_
иஏз ют пъ ъ тьвч плюзьзг люஊ ны_x000D_
ы д сы ьъ им ஐஐнюьбэ ъ жоஈ ючэщ_x000D_
в им ртюсъъы чъஆитэзфь ஊஏ з р-ஐ_x000D_
дъ с мбот п дшмбд юдஐ с иஆмдгэф_x000D_
вьлщс лд"гஏ п р жь ஈஐஏчьюஏ ஐю,м_x000D_
ф ючзэчэпс щэфочஈ ъзи,ог д эмஈш_x000D_
щஊилмсбр д чр аььдс н дърв ஏчтв_x000D_
мюжщожр-ஏджющ лэб,м с в бэхஏஐஈஈ_x000D_
ьщзஐвбъпъ дщт ш ஏஊ ஆ ஐ щ рвж зм_x000D_
н рч п ஊ, ь эфзь ьффжъотш нсоит_x000D_
шр ох иш, с ஐм ш чю ஐг ч т ьчоэ_x000D_
л шнщч юஏдт щ"г фэл щஏжпгஊ ஐси-_x000D_
и ъв тъмр ஊл рорхпч аъ гпщч ஏчф_x000D_
н ஊаஊсыьртஊзஆэஐъь в р лзбхп юсф_x000D_
пю,ஆ м тю р тщюп чъпфஆஏыр пнффп_x000D_
мஏвчзы тэ г бюஆщ ஏзஆхஊщэ о ввжч_x000D_
ыஊз сог щшзхщэஊ эஊ ыхஏрஊஊ ஈஈхъд_x000D_
щ нчфш дмпввஊ шаஐ ஆф а оъ чюмым_x000D_
хръ х и зпфддод х хпб з чщஏыஐьஐ_x000D_
м эஆш ஆн, с ищав гс эъжии эхюшх_x000D_
"ьффпщஊхв щ ஊфыз ъьрбஈббсии ввஏ_x000D_
шэаஆ юэ ஐриஐ чс з и бஏтых ындшщ_x000D_
плрஏанньш гю н ъопэччэщэ сн тлз_x000D_
мஊ ஏщஆоஆччж зб нъ шд в гпн гххы_x000D_
ирр ыл хы исбсдч н с э ъ ьвгஆдஊ_x000D_
сълвлд" ж-выд нфпс ччв ஈор ஈтсш</v>
      </c>
      <c r="G7" s="1">
        <v>6</v>
      </c>
      <c r="H7" s="1" t="str">
        <f t="shared" ca="1" si="3"/>
        <v>ю6эгиф,нб1ч6т1эмфрщчфпры2ща_x000D_
юа4ыюн4жшрюьжшщ4дь4пъ4ъффс_x000D_
аэзи4пмп1мгыьрп4юттфса2бр_x000D_
лам6вгл1щн4рзсю6х2шшчблщ_x000D_
тфифз6эыщли"жбэщоньхдъэьч_x000D_
1а1нсшфгмщжбажхьи1а14жьгъ_x000D_
ыщ1ырр1арювюив1хчт2эсэпш_x000D_
-ылчээпхьхбьэб2трыдъофиъыл_x000D_
-дхол6ыжзжжщдзхп-66тщагч_x000D_
юпщ2однп6па41омнп1фжюэм_x000D_
бчшщы1чпмжг6фжсою6гыжы6б_x000D_
лщбфтнм4бшрь4пюдиъшрыво_x000D_
щбфтатрххг1ютвщьъыздшты_x000D_
1аналчсъ2чгшоси2снэфд6ас_x000D_
б4рвъвг11счоэсм4шпзщ1ллозфю_x000D_
ннзщи-срьмшнсооввюфвмпрн_x000D_
г1ьиърсдлэбгыхчюнэтпл1щшэ_x000D_
роэшъ,ъ-эв6фжъюо1жщюр2ь_x000D_
ън6ж1ч1ззг6ьоов"ххлд1пи_x000D_
южыщ1ъгссзж46зд4ср4лршшиь_x000D_
и6зютпъътьвчплюзьзглю1ны_x000D_
ыдсыьъим22нюьбэъжо4ючэщ_x000D_
вимртюсъъычъ1итэзфь16зр-2_x000D_
дъсмботпдшмбдюд2си1мдгэф_x000D_
вьлщслд"г6пржь426чью62ю,м_x000D_
фючзэчэпсщэфоч4ъзи,огдэм4ш_x000D_
щ1илмсбрдчраььдсндърв6чтв_x000D_
мюжщожр-6джющлэб,мсвбэх6244_x000D_
ьщз2вбъпъдщтш6112щрвжзм_x000D_
нрчп1,ьэфзььффжъотшнсоит_x000D_
шрохиш,с2мшчю2гчтьчоэ_x000D_
лшнщчю6дтщ"гфэлщ6жпг12си-_x000D_
иъвтъмр1лрорхпчаъгпщч6чф_x000D_
н1а1сыьрт1з1э2ъьврлзбхпюсф_x000D_
пю,1мтюртщюпчъпф16ырпнффп_x000D_
м6вчзытэгбю1щ6з1х1щэоввжч_x000D_
ы1зсогщшзхщэ1э1ых6р1144хъд_x000D_
щнчфшдмпвв1ша21фаоъчюмым_x000D_
хръхизпфддодххпбзчщ6ы2ь2_x000D_
мэ1ш1н,сищавгсэъжииэхюшх_x000D_
"ьффпщ1хвщ1фызъьрб4ббсиивв6_x000D_
шэа1юэ2ри2чсзиб6тыхындшщ_x000D_
плр6анньшгюнъопэччэщэснтлз_x000D_
м16щ1о1ччжзбнъшдвгпнгххы_x000D_
иррылхыисбсдчнсэъьвг1д1_x000D_
сълвлд"ж-выднфпсччв4ор4тсш</v>
      </c>
      <c r="I7" t="s">
        <v>9</v>
      </c>
      <c r="J7" s="38"/>
      <c r="L7">
        <f t="shared" ca="1" si="4"/>
        <v>0</v>
      </c>
      <c r="M7">
        <f t="shared" ca="1" si="5"/>
        <v>8</v>
      </c>
    </row>
    <row r="8" spans="2:15" x14ac:dyDescent="0.25">
      <c r="D8" s="1" t="str">
        <f t="shared" ca="1" si="0"/>
        <v>н</v>
      </c>
      <c r="E8" s="1" t="str">
        <f t="shared" ca="1" si="1"/>
        <v>ள</v>
      </c>
      <c r="F8" s="1" t="str">
        <f t="shared" ca="1" si="2"/>
        <v>юஏэгиф,ளб ஆчஏтஊ эмф р щчфпр ыஐща_x000D_
юаஈыюள ஈжшрюьж шщஈ дь ஈпъஈ ъффс_x000D_
а эзи ஈп м п ஊмгыь рпஈюттфсаஐбр_x000D_
л ам ஏ вглஊ щளஈ рз сюஏхஐшш чблщ_x000D_
т фи фзஏ эыщли"жбэщ оள ьх дъэьч_x000D_
ஆ аஆ ளс шфгмщжбажх ьиஆаஊஈж ь гъ_x000D_
ыщஆ ыррஊ арю вюи вஆ х ч тஐэсэпш_x000D_
- ылчээпх ьхбьэб ஐтры дъо фиъыл_x000D_
-д хол ஏ ыж зжжщд зхп -ஏ ஏтщагч_x000D_
ю пщஐо д ளпஏ паஈஆ о мளпஊ фжю эм_x000D_
бч шщ ыஊчпмжгஏ фжсо юஏ г ыжы ஏб_x000D_
л щбфт ளм ஈбшрь ஈп ю диъш р ыво_x000D_
щбф т атр х хгஆ ютв щьъы здш ты_x000D_
ஆаள а лчсъ ஐ чгшо с иஐ сளэфдஏас_x000D_
бஈрвъв гஆ ஊ счоэсмஈшпзщ ஊллозфю_x000D_
ளள зщ и- с рьмш ளсооввюф вм прள_x000D_
гஆьиърсд лэб гы хчю ள этплஊ щшэ_x000D_
роэш ъ,ъ-эвஏф ж ъ юо ஆж щю р ஐь_x000D_
ъள ஏжஊчஆ з згஏь оо в"х хлд ஆ пи_x000D_
южыщஆъг сс зж ஈஏздஈ срஈ лрш шиь_x000D_
иஏз ют пъ ъ тьвч плюзьзг люஊ ளы_x000D_
ы д сы ьъ им ஐஐளюьбэ ъ жоஈ ючэщ_x000D_
в им ртюсъъы чъஆитэзфь ஊஏ з р-ஐ_x000D_
дъ с мбот п дшмбд юдஐ с иஆмдгэф_x000D_
вьлщс лд"гஏ п р жь ஈஐஏчьюஏ ஐю,м_x000D_
ф ючзэчэпс щэфочஈ ъзи,ог д эмஈш_x000D_
щஊилмсбр д чр аььдс ள дърв ஏчтв_x000D_
мюжщожр-ஏджющ лэб,м с в бэхஏஐஈஈ_x000D_
ьщзஐвбъпъ дщт ш ஏஊ ஆ ஐ щ рвж зм_x000D_
ள рч п ஊ, ь эфзь ьффжъотш ளсоит_x000D_
шр ох иш, с ஐм ш чю ஐг ч т ьчоэ_x000D_
л шளщч юஏдт щ"г фэл щஏжпгஊ ஐси-_x000D_
и ъв тъмр ஊл рорхпч аъ гпщч ஏчф_x000D_
ள ஊаஊсыьртஊзஆэஐъь в р лзбхп юсф_x000D_
пю,ஆ м тю р тщюп чъпфஆஏыр пளффп_x000D_
мஏвчзы тэ г бюஆщ ஏзஆхஊщэ о ввжч_x000D_
ыஊз сог щшзхщэஊ эஊ ыхஏрஊஊ ஈஈхъд_x000D_
щ ளчфш дмпввஊ шаஐ ஆф а оъ чюмым_x000D_
хръ х и зпфддод х хпб з чщஏыஐьஐ_x000D_
м эஆш ஆள, с ищав гс эъжии эхюшх_x000D_
"ьффпщஊхв щ ஊфыз ъьрбஈббсии ввஏ_x000D_
шэаஆ юэ ஐриஐ чс з и бஏтых ыளдшщ_x000D_
плрஏаளளьш гю ள ъопэччэщэ сள тлз_x000D_
мஊ ஏщஆоஆччж зб ளъ шд в гпள гххы_x000D_
ирр ыл хы исбсдч ள с э ъ ьвгஆдஊ_x000D_
сълвлд" ж-выд ளфпс ччв ஈор ஈтсш</v>
      </c>
      <c r="G8" s="1">
        <v>5</v>
      </c>
      <c r="H8" s="1" t="str">
        <f t="shared" ca="1" si="3"/>
        <v>ю6эгиф,5б1ч6т1эмфрщчфпры2ща_x000D_
юа4ыю54жшрюьжшщ4дь4пъ4ъффс_x000D_
аэзи4пмп1мгыьрп4юттфса2бр_x000D_
лам6вгл1щ54рзсю6х2шшчблщ_x000D_
тфифз6эыщли"жбэщо5ьхдъэьч_x000D_
1а15сшфгмщжбажхьи1а14жьгъ_x000D_
ыщ1ырр1арювюив1хчт2эсэпш_x000D_
-ылчээпхьхбьэб2трыдъофиъыл_x000D_
-дхол6ыжзжжщдзхп-66тщагч_x000D_
юпщ2од5п6па41ом5п1фжюэм_x000D_
бчшщы1чпмжг6фжсою6гыжы6б_x000D_
лщбфт5м4бшрь4пюдиъшрыво_x000D_
щбфтатрххг1ютвщьъыздшты_x000D_
1а5алчсъ2чгшоси2с5эфд6ас_x000D_
б4рвъвг11счоэсм4шпзщ1ллозфю_x000D_
55зщи-срьмш5сооввюфвмпр5_x000D_
г1ьиърсдлэбгыхчю5этпл1щшэ_x000D_
роэшъ,ъ-эв6фжъюо1жщюр2ь_x000D_
ъ56ж1ч1ззг6ьоов"ххлд1пи_x000D_
южыщ1ъгссзж46зд4ср4лршшиь_x000D_
и6зютпъътьвчплюзьзглю15ы_x000D_
ыдсыьъим225юьбэъжо4ючэщ_x000D_
вимртюсъъычъ1итэзфь16зр-2_x000D_
дъсмботпдшмбдюд2си1мдгэф_x000D_
вьлщслд"г6пржь426чью62ю,м_x000D_
фючзэчэпсщэфоч4ъзи,огдэм4ш_x000D_
щ1илмсбрдчраььдс5дърв6чтв_x000D_
мюжщожр-6джющлэб,мсвбэх6244_x000D_
ьщз2вбъпъдщтш6112щрвжзм_x000D_
5рчп1,ьэфзььффжъотш5соит_x000D_
шрохиш,с2мшчю2гчтьчоэ_x000D_
лш5щчю6дтщ"гфэлщ6жпг12си-_x000D_
иъвтъмр1лрорхпчаъгпщч6чф_x000D_
51а1сыьрт1з1э2ъьврлзбхпюсф_x000D_
пю,1мтюртщюпчъпф16ырп5ффп_x000D_
м6вчзытэгбю1щ6з1х1щэоввжч_x000D_
ы1зсогщшзхщэ1э1ых6р1144хъд_x000D_
щ5чфшдмпвв1ша21фаоъчюмым_x000D_
хръхизпфддодххпбзчщ6ы2ь2_x000D_
мэ1ш15,сищавгсэъжииэхюшх_x000D_
"ьффпщ1хвщ1фызъьрб4ббсиивв6_x000D_
шэа1юэ2ри2чсзиб6тыхы5дшщ_x000D_
плр6а55ьшгю5ъопэччэщэс5тлз_x000D_
м16щ1о1ччжзб5ъшдвгп5гххы_x000D_
иррылхыисбсдч5сэъьвг1д1_x000D_
сълвлд"ж-выд5фпсччв4ор4тсш</v>
      </c>
      <c r="I8" t="s">
        <v>9</v>
      </c>
      <c r="J8" s="38"/>
      <c r="L8">
        <f t="shared" ca="1" si="4"/>
        <v>2</v>
      </c>
      <c r="M8">
        <f t="shared" ca="1" si="5"/>
        <v>6</v>
      </c>
    </row>
    <row r="9" spans="2:15" x14ac:dyDescent="0.25">
      <c r="D9" s="1" t="str">
        <f t="shared" ca="1" si="0"/>
        <v>г</v>
      </c>
      <c r="E9" s="1" t="str">
        <f t="shared" ca="1" si="1"/>
        <v>ற</v>
      </c>
      <c r="F9" s="1" t="str">
        <f t="shared" ca="1" si="2"/>
        <v>юஏэறиф,ளб ஆчஏтஊ эмф р щчфпр ыஐща_x000D_
юаஈыюள ஈжшрюьж шщஈ дь ஈпъஈ ъффс_x000D_
а эзи ஈп м п ஊмறыь рпஈюттфсаஐбр_x000D_
л ам ஏ вறлஊ щளஈ рз сюஏхஐшш чблщ_x000D_
т фи фзஏ эыщли"жбэщ оள ьх дъэьч_x000D_
ஆ аஆ ளс шфறмщжбажх ьиஆаஊஈж ь றъ_x000D_
ыщஆ ыррஊ арю вюи вஆ х ч тஐэсэпш_x000D_
- ылчээпх ьхбьэб ஐтры дъо фиъыл_x000D_
-д хол ஏ ыж зжжщд зхп -ஏ ஏтщаறч_x000D_
ю пщஐо д ளпஏ паஈஆ о мளпஊ фжю эм_x000D_
бч шщ ыஊчпмжறஏ фжсо юஏ ற ыжы ஏб_x000D_
л щбфт ளм ஈбшрь ஈп ю диъш р ыво_x000D_
щбф т атр х хறஆ ютв щьъы здш ты_x000D_
ஆаள а лчсъ ஐ чறшо с иஐ сளэфдஏас_x000D_
бஈрвъв றஆ ஊ счоэсмஈшпзщ ஊллозфю_x000D_
ளள зщ и- с рьмш ளсооввюф вм прள_x000D_
றஆьиърсд лэб றы хчю ள этплஊ щшэ_x000D_
роэш ъ,ъ-эвஏф ж ъ юо ஆж щю р ஐь_x000D_
ъள ஏжஊчஆ з зறஏь оо в"х хлд ஆ пи_x000D_
южыщஆъற сс зж ஈஏздஈ срஈ лрш шиь_x000D_
иஏз ют пъ ъ тьвч плюзьзற люஊ ளы_x000D_
ы д сы ьъ им ஐஐளюьбэ ъ жоஈ ючэщ_x000D_
в им ртюсъъы чъஆитэзфь ஊஏ з р-ஐ_x000D_
дъ с мбот п дшмбд юдஐ с иஆмдறэф_x000D_
вьлщс лд"றஏ п р жь ஈஐஏчьюஏ ஐю,м_x000D_
ф ючзэчэпс щэфочஈ ъзи,оற д эмஈш_x000D_
щஊилмсбр д чр аььдс ள дърв ஏчтв_x000D_
мюжщожр-ஏджющ лэб,м с в бэхஏஐஈஈ_x000D_
ьщзஐвбъпъ дщт ш ஏஊ ஆ ஐ щ рвж зм_x000D_
ள рч п ஊ, ь эфзь ьффжъотш ளсоит_x000D_
шр ох иш, с ஐм ш чю ஐற ч т ьчоэ_x000D_
л шளщч юஏдт щ"ற фэл щஏжпறஊ ஐси-_x000D_
и ъв тъмр ஊл рорхпч аъ றпщч ஏчф_x000D_
ள ஊаஊсыьртஊзஆэஐъь в р лзбхп юсф_x000D_
пю,ஆ м тю р тщюп чъпфஆஏыр пளффп_x000D_
мஏвчзы тэ ற бюஆщ ஏзஆхஊщэ о ввжч_x000D_
ыஊз соற щшзхщэஊ эஊ ыхஏрஊஊ ஈஈхъд_x000D_
щ ளчфш дмпввஊ шаஐ ஆф а оъ чюмым_x000D_
хръ х и зпфддод х хпб з чщஏыஐьஐ_x000D_
м эஆш ஆள, с ищав றс эъжии эхюшх_x000D_
"ьффпщஊхв щ ஊфыз ъьрбஈббсии ввஏ_x000D_
шэаஆ юэ ஐриஐ чс з и бஏтых ыளдшщ_x000D_
плрஏаளளьш றю ள ъопэччэщэ сள тлз_x000D_
мஊ ஏщஆоஆччж зб ளъ шд в றпள றххы_x000D_
ирр ыл хы исбсдч ள с э ъ ьвறஆдஊ_x000D_
сълвлд" ж-выд ளфпс ччв ஈор ஈтсш</v>
      </c>
      <c r="G9" s="1">
        <v>4</v>
      </c>
      <c r="H9" s="1" t="str">
        <f t="shared" ca="1" si="3"/>
        <v>ю6э4иф,5б1ч6т1эмфрщчфпры2ща_x000D_
юа4ыю54жшрюьжшщ4дь4пъ4ъффс_x000D_
аэзи4пмп1м4ыьрп4юттфса2бр_x000D_
лам6в4л1щ54рзсю6х2шшчблщ_x000D_
тфифз6эыщли"жбэщо5ьхдъэьч_x000D_
1а15сшф4мщжбажхьи1а14жь4ъ_x000D_
ыщ1ырр1арювюив1хчт2эсэпш_x000D_
-ылчээпхьхбьэб2трыдъофиъыл_x000D_
-дхол6ыжзжжщдзхп-66тща4ч_x000D_
юпщ2од5п6па41ом5п1фжюэм_x000D_
бчшщы1чпмж46фжсою64ыжы6б_x000D_
лщбфт5м4бшрь4пюдиъшрыво_x000D_
щбфтатрхх41ютвщьъыздшты_x000D_
1а5алчсъ2ч4шоси2с5эфд6ас_x000D_
б4рвъв411счоэсм4шпзщ1ллозфю_x000D_
55зщи-срьмш5сооввюфвмпр5_x000D_
41ьиърсдлэб4ыхчю5этпл1щшэ_x000D_
роэшъ,ъ-эв6фжъюо1жщюр2ь_x000D_
ъ56ж1ч1зз46ьоов"ххлд1пи_x000D_
южыщ1ъ4ссзж46зд4ср4лршшиь_x000D_
и6зютпъътьвчплюзьз4лю15ы_x000D_
ыдсыьъим225юьбэъжо4ючэщ_x000D_
вимртюсъъычъ1итэзфь16зр-2_x000D_
дъсмботпдшмбдюд2си1мд4эф_x000D_
вьлщслд"46пржь426чью62ю,м_x000D_
фючзэчэпсщэфоч4ъзи,о4дэм4ш_x000D_
щ1илмсбрдчраььдс5дърв6чтв_x000D_
мюжщожр-6джющлэб,мсвбэх6244_x000D_
ьщз2вбъпъдщтш6112щрвжзм_x000D_
5рчп1,ьэфзььффжъотш5соит_x000D_
шрохиш,с2мшчю24чтьчоэ_x000D_
лш5щчю6дтщ"4фэлщ6жп412си-_x000D_
иъвтъмр1лрорхпчаъ4пщч6чф_x000D_
51а1сыьрт1з1э2ъьврлзбхпюсф_x000D_
пю,1мтюртщюпчъпф16ырп5ффп_x000D_
м6вчзытэ4бю1щ6з1х1щэоввжч_x000D_
ы1зсо4щшзхщэ1э1ых6р1144хъд_x000D_
щ5чфшдмпвв1ша21фаоъчюмым_x000D_
хръхизпфддодххпбзчщ6ы2ь2_x000D_
мэ1ш15,сищав4сэъжииэхюшх_x000D_
"ьффпщ1хвщ1фызъьрб4ббсиивв6_x000D_
шэа1юэ2ри2чсзиб6тыхы5дшщ_x000D_
плр6а55ьш4ю5ъопэччэщэс5тлз_x000D_
м16щ1о1ччжзб5ъшдв4п54ххы_x000D_
иррылхыисбсдч5сэъьв41д1_x000D_
сълвлд"ж-выд5фпсччв4ор4тсш</v>
      </c>
      <c r="I9" t="s">
        <v>9</v>
      </c>
      <c r="J9" s="38"/>
      <c r="L9">
        <f t="shared" ca="1" si="4"/>
        <v>0</v>
      </c>
      <c r="M9">
        <f t="shared" ca="1" si="5"/>
        <v>4</v>
      </c>
    </row>
    <row r="10" spans="2:15" x14ac:dyDescent="0.25">
      <c r="D10" s="1" t="str">
        <f t="shared" ca="1" si="0"/>
        <v>ш</v>
      </c>
      <c r="E10" s="1" t="str">
        <f t="shared" ca="1" si="1"/>
        <v>ன</v>
      </c>
      <c r="F10" s="1" t="str">
        <f t="shared" ca="1" si="2"/>
        <v>юஏэறиф,ளб ஆчஏтஊ эмф р щчфпр ыஐща_x000D_
юаஈыюள ஈжனрюьж னщஈ дь ஈпъஈ ъффс_x000D_
а эзи ஈп м п ஊмறыь рпஈюттфсаஐбр_x000D_
л ам ஏ вறлஊ щளஈ рз сюஏхஐனன чблщ_x000D_
т фи фзஏ эыщли"жбэщ оள ьх дъэьч_x000D_
ஆ аஆ ளс னфறмщжбажх ьиஆаஊஈж ь றъ_x000D_
ыщஆ ыррஊ арю вюи вஆ х ч тஐэсэпன_x000D_
- ылчээпх ьхбьэб ஐтры дъо фиъыл_x000D_
-д хол ஏ ыж зжжщд зхп -ஏ ஏтщаறч_x000D_
ю пщஐо д ளпஏ паஈஆ о мளпஊ фжю эм_x000D_
бч னщ ыஊчпмжறஏ фжсо юஏ ற ыжы ஏб_x000D_
л щбфт ளм ஈбனрь ஈп ю диъன р ыво_x000D_
щбф т атр х хறஆ ютв щьъы здன ты_x000D_
ஆаள а лчсъ ஐ чறனо с иஐ сளэфдஏас_x000D_
бஈрвъв றஆ ஊ счоэсмஈனпзщ ஊллозфю_x000D_
ளள зщ и- с рьмன ளсооввюф вм прள_x000D_
றஆьиърсд лэб றы хчю ள этплஊ щனэ_x000D_
роэன ъ,ъ-эвஏф ж ъ юо ஆж щю р ஐь_x000D_
ъள ஏжஊчஆ з зறஏь оо в"х хлд ஆ пи_x000D_
южыщஆъற сс зж ஈஏздஈ срஈ лрன னиь_x000D_
иஏз ют пъ ъ тьвч плюзьзற люஊ ளы_x000D_
ы д сы ьъ им ஐஐளюьбэ ъ жоஈ ючэщ_x000D_
в им ртюсъъы чъஆитэзфь ஊஏ з р-ஐ_x000D_
дъ с мбот п дனмбд юдஐ с иஆмдறэф_x000D_
вьлщс лд"றஏ п р жь ஈஐஏчьюஏ ஐю,м_x000D_
ф ючзэчэпс щэфочஈ ъзи,оற д эмஈன_x000D_
щஊилмсбр д чр аььдс ள дърв ஏчтв_x000D_
мюжщожр-ஏджющ лэб,м с в бэхஏஐஈஈ_x000D_
ьщзஐвбъпъ дщт ன ஏஊ ஆ ஐ щ рвж зм_x000D_
ள рч п ஊ, ь эфзь ьффжъотன ளсоит_x000D_
னр ох иன, с ஐм ன чю ஐற ч т ьчоэ_x000D_
л னளщч юஏдт щ"ற фэл щஏжпறஊ ஐси-_x000D_
и ъв тъмр ஊл рорхпч аъ றпщч ஏчф_x000D_
ள ஊаஊсыьртஊзஆэஐъь в р лзбхп юсф_x000D_
пю,ஆ м тю р тщюп чъпфஆஏыр пளффп_x000D_
мஏвчзы тэ ற бюஆщ ஏзஆхஊщэ о ввжч_x000D_
ыஊз соற щனзхщэஊ эஊ ыхஏрஊஊ ஈஈхъд_x000D_
щ ளчфன дмпввஊ னаஐ ஆф а оъ чюмым_x000D_
хръ х и зпфддод х хпб з чщஏыஐьஐ_x000D_
м эஆன ஆள, с ищав றс эъжии эхюனх_x000D_
"ьффпщஊхв щ ஊфыз ъьрбஈббсии ввஏ_x000D_
னэаஆ юэ ஐриஐ чс з и бஏтых ыளдனщ_x000D_
плрஏаளளьன றю ள ъопэччэщэ сள тлз_x000D_
мஊ ஏщஆоஆччж зб ளъ னд в றпள றххы_x000D_
ирр ыл хы исбсдч ள с э ъ ьвறஆдஊ_x000D_
сълвлд" ж-выд ளфпс ччв ஈор ஈтсன</v>
      </c>
      <c r="G10" s="1">
        <v>6</v>
      </c>
      <c r="H10" s="1" t="str">
        <f t="shared" ca="1" si="3"/>
        <v>ю6э4иф,5б1ч6т1эмфрщчфпры2ща_x000D_
юа4ыю54ж6рюьж6щ4дь4пъ4ъффс_x000D_
аэзи4пмп1м4ыьрп4юттфса2бр_x000D_
лам6в4л1щ54рзсю6х266чблщ_x000D_
тфифз6эыщли"жбэщо5ьхдъэьч_x000D_
1а15с6ф4мщжбажхьи1а14жь4ъ_x000D_
ыщ1ырр1арювюив1хчт2эсэп6_x000D_
-ылчээпхьхбьэб2трыдъофиъыл_x000D_
-дхол6ыжзжжщдзхп-66тща4ч_x000D_
юпщ2од5п6па41ом5п1фжюэм_x000D_
бч6щы1чпмж46фжсою64ыжы6б_x000D_
лщбфт5м4б6рь4пюдиъ6рыво_x000D_
щбфтатрхх41ютвщьъызд6ты_x000D_
1а5алчсъ2ч46оси2с5эфд6ас_x000D_
б4рвъв411счоэсм46пзщ1ллозфю_x000D_
55зщи-срьм65сооввюфвмпр5_x000D_
41ьиърсдлэб4ыхчю5этпл1щ6э_x000D_
роэ6ъ,ъ-эв6фжъюо1жщюр2ь_x000D_
ъ56ж1ч1зз46ьоов"ххлд1пи_x000D_
южыщ1ъ4ссзж46зд4ср4лр66иь_x000D_
и6зютпъътьвчплюзьз4лю15ы_x000D_
ыдсыьъим225юьбэъжо4ючэщ_x000D_
вимртюсъъычъ1итэзфь16зр-2_x000D_
дъсмботпд6мбдюд2си1мд4эф_x000D_
вьлщслд"46пржь426чью62ю,м_x000D_
фючзэчэпсщэфоч4ъзи,о4дэм46_x000D_
щ1илмсбрдчраььдс5дърв6чтв_x000D_
мюжщожр-6джющлэб,мсвбэх6244_x000D_
ьщз2вбъпъдщт66112щрвжзм_x000D_
5рчп1,ьэфзььффжъот65соит_x000D_
6рохи6,с2м6чю24чтьчоэ_x000D_
л65щчю6дтщ"4фэлщ6жп412си-_x000D_
иъвтъмр1лрорхпчаъ4пщч6чф_x000D_
51а1сыьрт1з1э2ъьврлзбхпюсф_x000D_
пю,1мтюртщюпчъпф16ырп5ффп_x000D_
м6вчзытэ4бю1щ6з1х1щэоввжч_x000D_
ы1зсо4щ6зхщэ1э1ых6р1144хъд_x000D_
щ5чф6дмпвв16а21фаоъчюмым_x000D_
хръхизпфддодххпбзчщ6ы2ь2_x000D_
мэ1615,сищав4сэъжииэхю6х_x000D_
"ьффпщ1хвщ1фызъьрб4ббсиивв6_x000D_
6эа1юэ2ри2чсзиб6тыхы5д6щ_x000D_
плр6а55ь64ю5ъопэччэщэс5тлз_x000D_
м16щ1о1ччжзб5ъ6дв4п54ххы_x000D_
иррылхыисбсдч5сэъьв41д1_x000D_
сълвлд"ж-выд5фпсччв4ор4тс6</v>
      </c>
      <c r="I10" t="s">
        <v>9</v>
      </c>
      <c r="J10" s="38"/>
      <c r="L10">
        <f t="shared" ca="1" si="4"/>
        <v>5</v>
      </c>
      <c r="M10">
        <f t="shared" ca="1" si="5"/>
        <v>3</v>
      </c>
    </row>
    <row r="11" spans="2:15" x14ac:dyDescent="0.25">
      <c r="D11" s="1" t="str">
        <f t="shared" ca="1" si="0"/>
        <v>щ</v>
      </c>
      <c r="E11" s="1" t="str">
        <f t="shared" ca="1" si="1"/>
        <v>ட</v>
      </c>
      <c r="F11" s="1" t="str">
        <f t="shared" ca="1" si="2"/>
        <v>юஏэறиф,ளб ஆчஏтஊ эмф р டчфпр ыஐடа_x000D_
юаஈыюள ஈжனрюьж னடஈ дь ஈпъஈ ъффс_x000D_
а эзи ஈп м п ஊмறыь рпஈюттфсаஐбр_x000D_
л ам ஏ вறлஊ டளஈ рз сюஏхஐனன чблட_x000D_
т фи фзஏ эыடли"жбэட оள ьх дъэьч_x000D_
ஆ аஆ ளс னфறмடжбажх ьиஆаஊஈж ь றъ_x000D_
ыடஆ ыррஊ арю вюи вஆ х ч тஐэсэпன_x000D_
- ылчээпх ьхбьэб ஐтры дъо фиъыл_x000D_
-д хол ஏ ыж зжжடд зхп -ஏ ஏтடаறч_x000D_
ю пடஐо д ளпஏ паஈஆ о мளпஊ фжю эм_x000D_
бч னட ыஊчпмжறஏ фжсо юஏ ற ыжы ஏб_x000D_
л டбфт ளм ஈбனрь ஈп ю диъன р ыво_x000D_
டбф т атр х хறஆ ютв டьъы здன ты_x000D_
ஆаள а лчсъ ஐ чறனо с иஐ сளэфдஏас_x000D_
бஈрвъв றஆ ஊ счоэсмஈனпзட ஊллозфю_x000D_
ளள зட и- с рьмன ளсооввюф вм прள_x000D_
றஆьиърсд лэб றы хчю ள этплஊ டனэ_x000D_
роэன ъ,ъ-эвஏф ж ъ юо ஆж டю р ஐь_x000D_
ъள ஏжஊчஆ з зறஏь оо в"х хлд ஆ пи_x000D_
южыடஆъற сс зж ஈஏздஈ срஈ лрன னиь_x000D_
иஏз ют пъ ъ тьвч плюзьзற люஊ ளы_x000D_
ы д сы ьъ им ஐஐளюьбэ ъ жоஈ ючэட_x000D_
в им ртюсъъы чъஆитэзфь ஊஏ з р-ஐ_x000D_
дъ с мбот п дனмбд юдஐ с иஆмдறэф_x000D_
вьлடс лд"றஏ п р жь ஈஐஏчьюஏ ஐю,м_x000D_
ф ючзэчэпс டэфочஈ ъзи,оற д эмஈன_x000D_
டஊилмсбр д чр аььдс ள дърв ஏчтв_x000D_
мюжடожр-ஏджюட лэб,м с в бэхஏஐஈஈ_x000D_
ьடзஐвбъпъ дடт ன ஏஊ ஆ ஐ ட рвж зм_x000D_
ள рч п ஊ, ь эфзь ьффжъотன ளсоит_x000D_
னр ох иன, с ஐм ன чю ஐற ч т ьчоэ_x000D_
л னளடч юஏдт ட"ற фэл டஏжпறஊ ஐси-_x000D_
и ъв тъмр ஊл рорхпч аъ றпடч ஏчф_x000D_
ள ஊаஊсыьртஊзஆэஐъь в р лзбхп юсф_x000D_
пю,ஆ м тю р тடюп чъпфஆஏыр пளффп_x000D_
мஏвчзы тэ ற бюஆட ஏзஆхஊடэ о ввжч_x000D_
ыஊз соற டனзхடэஊ эஊ ыхஏрஊஊ ஈஈхъд_x000D_
ட ளчфன дмпввஊ னаஐ ஆф а оъ чюмым_x000D_
хръ х и зпфддод х хпб з чடஏыஐьஐ_x000D_
м эஆன ஆள, с иடав றс эъжии эхюனх_x000D_
"ьффпடஊхв ட ஊфыз ъьрбஈббсии ввஏ_x000D_
னэаஆ юэ ஐриஐ чс з и бஏтых ыளдனட_x000D_
плрஏаளளьன றю ள ъопэччэடэ сள тлз_x000D_
мஊ ஏடஆоஆччж зб ளъ னд в றпள றххы_x000D_
ирр ыл хы исбсдч ள с э ъ ьвறஆдஊ_x000D_
сълвлд" ж-выд ளфпс ччв ஈор ஈтсன</v>
      </c>
      <c r="G11" s="1">
        <v>7</v>
      </c>
      <c r="H11" s="1" t="str">
        <f t="shared" ca="1" si="3"/>
        <v>ю6э4иф,5б1ч6т1эмфр7чфпры27а_x000D_
юа4ыю54ж6рюьж674дь4пъ4ъффс_x000D_
аэзи4пмп1м4ыьрп4юттфса2бр_x000D_
лам6в4л1754рзсю6х266чбл7_x000D_
тфифз6эы7ли"жбэ7о5ьхдъэьч_x000D_
1а15с6ф4м7жбажхьи1а14жь4ъ_x000D_
ы71ырр1арювюив1хчт2эсэп6_x000D_
-ылчээпхьхбьэб2трыдъофиъыл_x000D_
-дхол6ыжзжж7дзхп-66т7а4ч_x000D_
юп72од5п6па41ом5п1фжюэм_x000D_
бч67ы1чпмж46фжсою64ыжы6б_x000D_
л7бфт5м4б6рь4пюдиъ6рыво_x000D_
7бфтатрхх41ютв7ьъызд6ты_x000D_
1а5алчсъ2ч46оси2с5эфд6ас_x000D_
б4рвъв411счоэсм46пз71ллозфю_x000D_
55з7и-срьм65сооввюфвмпр5_x000D_
41ьиърсдлэб4ыхчю5этпл176э_x000D_
роэ6ъ,ъ-эв6фжъюо1ж7юр2ь_x000D_
ъ56ж1ч1зз46ьоов"ххлд1пи_x000D_
южы71ъ4ссзж46зд4ср4лр66иь_x000D_
и6зютпъътьвчплюзьз4лю15ы_x000D_
ыдсыьъим225юьбэъжо4ючэ7_x000D_
вимртюсъъычъ1итэзфь16зр-2_x000D_
дъсмботпд6мбдюд2си1мд4эф_x000D_
вьл7слд"46пржь426чью62ю,м_x000D_
фючзэчэпс7эфоч4ъзи,о4дэм46_x000D_
71илмсбрдчраььдс5дърв6чтв_x000D_
мюж7ожр-6джю7лэб,мсвбэх6244_x000D_
ь7з2вбъпъд7т661127рвжзм_x000D_
5рчп1,ьэфзььффжъот65соит_x000D_
6рохи6,с2м6чю24чтьчоэ_x000D_
л657чю6дт7"4фэл76жп412си-_x000D_
иъвтъмр1лрорхпчаъ4п7ч6чф_x000D_
51а1сыьрт1з1э2ъьврлзбхпюсф_x000D_
пю,1мтюрт7юпчъпф16ырп5ффп_x000D_
м6вчзытэ4бю176з1х17эоввжч_x000D_
ы1зсо476зх7э1э1ых6р1144хъд_x000D_
75чф6дмпвв16а21фаоъчюмым_x000D_
хръхизпфддодххпбзч76ы2ь2_x000D_
мэ1615,си7ав4сэъжииэхю6х_x000D_
"ьффп71хв71фызъьрб4ббсиивв6_x000D_
6эа1юэ2ри2чсзиб6тыхы5д67_x000D_
плр6а55ь64ю5ъопэччэ7эс5тлз_x000D_
м1671о1ччжзб5ъ6дв4п54ххы_x000D_
иррылхыисбсдч5сэъьв41д1_x000D_
сълвлд"ж-выд5фпсччв4ор4тс6</v>
      </c>
      <c r="I11" t="s">
        <v>9</v>
      </c>
      <c r="J11" s="38"/>
      <c r="L11">
        <f t="shared" ca="1" si="4"/>
        <v>2</v>
      </c>
      <c r="M11">
        <f t="shared" ca="1" si="5"/>
        <v>5</v>
      </c>
    </row>
    <row r="12" spans="2:15" x14ac:dyDescent="0.25">
      <c r="D12" s="1" t="str">
        <f t="shared" ca="1" si="0"/>
        <v>з</v>
      </c>
      <c r="E12" s="1" t="str">
        <f t="shared" ca="1" si="1"/>
        <v>ண</v>
      </c>
      <c r="F12" s="1" t="str">
        <f t="shared" ca="1" si="2"/>
        <v>юஏэறиф,ளб ஆчஏтஊ эмф р டчфпр ыஐடа_x000D_
юаஈыюள ஈжனрюьж னடஈ дь ஈпъஈ ъффс_x000D_
а эணи ஈп м п ஊмறыь рпஈюттфсаஐбр_x000D_
л ам ஏ вறлஊ டளஈ рண сюஏхஐனன чблட_x000D_
т фи фணஏ эыடли"жбэட оள ьх дъэьч_x000D_
ஆ аஆ ளс னфறмடжбажх ьиஆаஊஈж ь றъ_x000D_
ыடஆ ыррஊ арю вюи вஆ х ч тஐэсэпன_x000D_
- ылчээпх ьхбьэб ஐтры дъо фиъыл_x000D_
-д хол ஏ ыж ணжжடд ணхп -ஏ ஏтடаறч_x000D_
ю пடஐо д ளпஏ паஈஆ о мளпஊ фжю эм_x000D_
бч னட ыஊчпмжறஏ фжсо юஏ ற ыжы ஏб_x000D_
л டбфт ளм ஈбனрь ஈп ю диъன р ыво_x000D_
டбф т атр х хறஆ ютв டьъы ணдன ты_x000D_
ஆаள а лчсъ ஐ чறனо с иஐ сளэфдஏас_x000D_
бஈрвъв றஆ ஊ счоэсмஈனпணட ஊллоணфю_x000D_
ளள ணட и- с рьмன ளсооввюф вм прள_x000D_
றஆьиърсд лэб றы хчю ள этплஊ டனэ_x000D_
роэன ъ,ъ-эвஏф ж ъ юо ஆж டю р ஐь_x000D_
ъள ஏжஊчஆ ண ணறஏь оо в"х хлд ஆ пи_x000D_
южыடஆъற сс ணж ஈஏணдஈ срஈ лрன னиь_x000D_
иஏண ют пъ ъ тьвч плюணьணற люஊ ளы_x000D_
ы д сы ьъ им ஐஐளюьбэ ъ жоஈ ючэட_x000D_
в им ртюсъъы чъஆитэணфь ஊஏ ண р-ஐ_x000D_
дъ с мбот п дனмбд юдஐ с иஆмдறэф_x000D_
вьлடс лд"றஏ п р жь ஈஐஏчьюஏ ஐю,м_x000D_
ф ючணэчэпс டэфочஈ ъணи,оற д эмஈன_x000D_
டஊилмсбр д чр аььдс ள дърв ஏчтв_x000D_
мюжடожр-ஏджюட лэб,м с в бэхஏஐஈஈ_x000D_
ьடணஐвбъпъ дடт ன ஏஊ ஆ ஐ ட рвж ணм_x000D_
ள рч п ஊ, ь эфணь ьффжъотன ளсоит_x000D_
னр ох иன, с ஐм ன чю ஐற ч т ьчоэ_x000D_
л னளடч юஏдт ட"ற фэл டஏжпறஊ ஐси-_x000D_
и ъв тъмр ஊл рорхпч аъ றпடч ஏчф_x000D_
ள ஊаஊсыьртஊணஆэஐъь в р лணбхп юсф_x000D_
пю,ஆ м тю р тடюп чъпфஆஏыр пளффп_x000D_
мஏвчணы тэ ற бюஆட ஏணஆхஊடэ о ввжч_x000D_
ыஊண соற டனணхடэஊ эஊ ыхஏрஊஊ ஈஈхъд_x000D_
ட ளчфன дмпввஊ னаஐ ஆф а оъ чюмым_x000D_
хръ х и ணпфддод х хпб ண чடஏыஐьஐ_x000D_
м эஆன ஆள, с иடав றс эъжии эхюனх_x000D_
"ьффпடஊхв ட ஊфыண ъьрбஈббсии ввஏ_x000D_
னэаஆ юэ ஐриஐ чс ண и бஏтых ыளдனட_x000D_
плрஏаளளьன றю ள ъопэччэடэ сள тлண_x000D_
мஊ ஏடஆоஆччж ணб ளъ னд в றпள றххы_x000D_
ирр ыл хы исбсдч ள с э ъ ьвறஆдஊ_x000D_
сълвлд" ж-выд ளфпс ччв ஈор ஈтсன</v>
      </c>
      <c r="G12" s="1">
        <v>9</v>
      </c>
      <c r="H12" s="1" t="str">
        <f t="shared" ca="1" si="3"/>
        <v>ю6э4иф,5б1ч6т1эмфр7чфпры27а_x000D_
юа4ыю54ж6рюьж674дь4пъ4ъффс_x000D_
аэ9и4пмп1м4ыьрп4юттфса2бр_x000D_
лам6в4л1754р9сю6х266чбл7_x000D_
тфиф96эы7ли"жбэ7о5ьхдъэьч_x000D_
1а15с6ф4м7жбажхьи1а14жь4ъ_x000D_
ы71ырр1арювюив1хчт2эсэп6_x000D_
-ылчээпхьхбьэб2трыдъофиъыл_x000D_
-дхол6ыж9жж7д9хп-66т7а4ч_x000D_
юп72од5п6па41ом5п1фжюэм_x000D_
бч67ы1чпмж46фжсою64ыжы6б_x000D_
л7бфт5м4б6рь4пюдиъ6рыво_x000D_
7бфтатрхх41ютв7ьъы9д6ты_x000D_
1а5алчсъ2ч46оси2с5эфд6ас_x000D_
б4рвъв411счоэсм46п971лло9фю_x000D_
5597и-срьм65сооввюфвмпр5_x000D_
41ьиърсдлэб4ыхчю5этпл176э_x000D_
роэ6ъ,ъ-эв6фжъюо1ж7юр2ь_x000D_
ъ56ж1ч19946ьоов"ххлд1пи_x000D_
южы71ъ4сс9ж469д4ср4лр66иь_x000D_
и69ютпъътьвчплю9ь94лю15ы_x000D_
ыдсыьъим225юьбэъжо4ючэ7_x000D_
вимртюсъъычъ1итэ9фь169р-2_x000D_
дъсмботпд6мбдюд2си1мд4эф_x000D_
вьл7слд"46пржь426чью62ю,м_x000D_
фюч9эчэпс7эфоч4ъ9и,о4дэм46_x000D_
71илмсбрдчраььдс5дърв6чтв_x000D_
мюж7ожр-6джю7лэб,мсвбэх6244_x000D_
ь792вбъпъд7т661127рвж9м_x000D_
5рчп1,ьэф9ььффжъот65соит_x000D_
6рохи6,с2м6чю24чтьчоэ_x000D_
л657чю6дт7"4фэл76жп412си-_x000D_
иъвтъмр1лрорхпчаъ4п7ч6чф_x000D_
51а1сыьрт191э2ъьврл9бхпюсф_x000D_
пю,1мтюрт7юпчъпф16ырп5ффп_x000D_
м6вч9ытэ4бю17691х17эоввжч_x000D_
ы19со4769х7э1э1ых6р1144хъд_x000D_
75чф6дмпвв16а21фаоъчюмым_x000D_
хръхи9пфддодххпб9ч76ы2ь2_x000D_
мэ1615,си7ав4сэъжииэхю6х_x000D_
"ьффп71хв71фы9ъьрб4ббсиивв6_x000D_
6эа1юэ2ри2чс9иб6тыхы5д67_x000D_
плр6а55ь64ю5ъопэччэ7эс5тл9_x000D_
м1671о1ччж9б5ъ6дв4п54ххы_x000D_
иррылхыисбсдч5сэъьв41д1_x000D_
сълвлд"ж-выд5фпсччв4ор4тс6</v>
      </c>
      <c r="I12" t="s">
        <v>9</v>
      </c>
      <c r="J12" s="38"/>
      <c r="L12">
        <f t="shared" ca="1" si="4"/>
        <v>1</v>
      </c>
      <c r="M12">
        <f t="shared" ca="1" si="5"/>
        <v>5</v>
      </c>
    </row>
    <row r="13" spans="2:15" x14ac:dyDescent="0.25">
      <c r="D13" s="1" t="str">
        <f t="shared" ca="1" si="0"/>
        <v>х</v>
      </c>
      <c r="E13" s="1" t="str">
        <f t="shared" ca="1" si="1"/>
        <v>ச</v>
      </c>
      <c r="F13" s="1" t="str">
        <f t="shared" ca="1" si="2"/>
        <v>юஏэறиф,ளб ஆчஏтஊ эмф р டчфпр ыஐடа_x000D_
юаஈыюள ஈжனрюьж னடஈ дь ஈпъஈ ъффс_x000D_
а эணи ஈп м п ஊмறыь рпஈюттфсаஐбр_x000D_
л ам ஏ вறлஊ டளஈ рண сюஏசஐனன чблட_x000D_
т фи фணஏ эыடли"жбэட оள ьச дъэьч_x000D_
ஆ аஆ ளс னфறмடжбажச ьиஆаஊஈж ь றъ_x000D_
ыடஆ ыррஊ арю вюи вஆ ச ч тஐэсэпன_x000D_
- ылчээпச ьசбьэб ஐтры дъо фиъыл_x000D_
-д சол ஏ ыж ணжжடд ணசп -ஏ ஏтடаறч_x000D_
ю пடஐо д ளпஏ паஈஆ о мளпஊ фжю эм_x000D_
бч னட ыஊчпмжறஏ фжсо юஏ ற ыжы ஏб_x000D_
л டбфт ளм ஈбனрь ஈп ю диъன р ыво_x000D_
டбф т атр ச சறஆ ютв டьъы ணдன ты_x000D_
ஆаள а лчсъ ஐ чறனо с иஐ сளэфдஏас_x000D_
бஈрвъв றஆ ஊ счоэсмஈனпணட ஊллоணфю_x000D_
ளள ணட и- с рьмன ளсооввюф вм прள_x000D_
றஆьиърсд лэб றы சчю ள этплஊ டனэ_x000D_
роэன ъ,ъ-эвஏф ж ъ юо ஆж டю р ஐь_x000D_
ъள ஏжஊчஆ ண ணறஏь оо в"ச சлд ஆ пи_x000D_
южыடஆъற сс ணж ஈஏணдஈ срஈ лрன னиь_x000D_
иஏண ют пъ ъ тьвч плюணьணற люஊ ளы_x000D_
ы д сы ьъ им ஐஐளюьбэ ъ жоஈ ючэட_x000D_
в им ртюсъъы чъஆитэணфь ஊஏ ண р-ஐ_x000D_
дъ с мбот п дனмбд юдஐ с иஆмдறэф_x000D_
вьлடс лд"றஏ п р жь ஈஐஏчьюஏ ஐю,м_x000D_
ф ючணэчэпс டэфочஈ ъணи,оற д эмஈன_x000D_
டஊилмсбр д чр аььдс ள дърв ஏчтв_x000D_
мюжடожр-ஏджюட лэб,м с в бэசஏஐஈஈ_x000D_
ьடணஐвбъпъ дடт ன ஏஊ ஆ ஐ ட рвж ணм_x000D_
ள рч п ஊ, ь эфணь ьффжъотன ளсоит_x000D_
னр оச иன, с ஐм ன чю ஐற ч т ьчоэ_x000D_
л னளடч юஏдт ட"ற фэл டஏжпறஊ ஐси-_x000D_
и ъв тъмр ஊл рорசпч аъ றпடч ஏчф_x000D_
ள ஊаஊсыьртஊணஆэஐъь в р лணбசп юсф_x000D_
пю,ஆ м тю р тடюп чъпфஆஏыр пளффп_x000D_
мஏвчணы тэ ற бюஆட ஏணஆசஊடэ о ввжч_x000D_
ыஊண соற டனணசடэஊ эஊ ыசஏрஊஊ ஈஈசъд_x000D_
ட ளчфன дмпввஊ னаஐ ஆф а оъ чюмым_x000D_
சръ ச и ணпфддод ச சпб ண чடஏыஐьஐ_x000D_
м эஆன ஆள, с иடав றс эъжии эசюனச_x000D_
"ьффпடஊசв ட ஊфыண ъьрбஈббсии ввஏ_x000D_
னэаஆ юэ ஐриஐ чс ண и бஏтыச ыளдனட_x000D_
плрஏаளளьன றю ள ъопэччэடэ сள тлண_x000D_
мஊ ஏடஆоஆччж ணб ளъ னд в றпள றசசы_x000D_
ирр ыл சы исбсдч ள с э ъ ьвறஆдஊ_x000D_
сълвлд" ж-выд ளфпс ччв ஈор ஈтсன</v>
      </c>
      <c r="G13" s="1">
        <v>3</v>
      </c>
      <c r="H13" s="1" t="str">
        <f t="shared" ca="1" si="3"/>
        <v>ю6э4иф,5б1ч6т1эмфр7чфпры27а_x000D_
юа4ыю54ж6рюьж674дь4пъ4ъффс_x000D_
аэ9и4пмп1м4ыьрп4юттфса2бр_x000D_
лам6в4л1754р9сю63266чбл7_x000D_
тфиф96эы7ли"жбэ7о5ь3дъэьч_x000D_
1а15с6ф4м7жбаж3ьи1а14жь4ъ_x000D_
ы71ырр1арювюив13чт2эсэп6_x000D_
-ылчээп3ь3бьэб2трыдъофиъыл_x000D_
-д3ол6ыж9жж7д93п-66т7а4ч_x000D_
юп72од5п6па41ом5п1фжюэм_x000D_
бч67ы1чпмж46фжсою64ыжы6б_x000D_
л7бфт5м4б6рь4пюдиъ6рыво_x000D_
7бфтатр3341ютв7ьъы9д6ты_x000D_
1а5алчсъ2ч46оси2с5эфд6ас_x000D_
б4рвъв411счоэсм46п971лло9фю_x000D_
5597и-срьм65сооввюфвмпр5_x000D_
41ьиърсдлэб4ы3чю5этпл176э_x000D_
роэ6ъ,ъ-эв6фжъюо1ж7юр2ь_x000D_
ъ56ж1ч19946ьоов"33лд1пи_x000D_
южы71ъ4сс9ж469д4ср4лр66иь_x000D_
и69ютпъътьвчплю9ь94лю15ы_x000D_
ыдсыьъим225юьбэъжо4ючэ7_x000D_
вимртюсъъычъ1итэ9фь169р-2_x000D_
дъсмботпд6мбдюд2си1мд4эф_x000D_
вьл7слд"46пржь426чью62ю,м_x000D_
фюч9эчэпс7эфоч4ъ9и,о4дэм46_x000D_
71илмсбрдчраььдс5дърв6чтв_x000D_
мюж7ожр-6джю7лэб,мсвбэ36244_x000D_
ь792вбъпъд7т661127рвж9м_x000D_
5рчп1,ьэф9ььффжъот65соит_x000D_
6ро3и6,с2м6чю24чтьчоэ_x000D_
л657чю6дт7"4фэл76жп412си-_x000D_
иъвтъмр1лрор3пчаъ4п7ч6чф_x000D_
51а1сыьрт191э2ъьврл9б3пюсф_x000D_
пю,1мтюрт7юпчъпф16ырп5ффп_x000D_
м6вч9ытэ4бю17691317эоввжч_x000D_
ы19со476937э1э1ы36р11443ъд_x000D_
75чф6дмпвв16а21фаоъчюмым_x000D_
3ръ3и9пфддод33пб9ч76ы2ь2_x000D_
мэ1615,си7ав4сэъжииэ3ю63_x000D_
"ьффп713в71фы9ъьрб4ббсиивв6_x000D_
6эа1юэ2ри2чс9иб6ты3ы5д67_x000D_
плр6а55ь64ю5ъопэччэ7эс5тл9_x000D_
м1671о1ччж9б5ъ6дв4п5433ы_x000D_
иррыл3ыисбсдч5сэъьв41д1_x000D_
сълвлд"ж-выд5фпсччв4ор4тс6</v>
      </c>
      <c r="I13" t="s">
        <v>9</v>
      </c>
      <c r="J13" s="38"/>
      <c r="L13">
        <f t="shared" ca="1" si="4"/>
        <v>5</v>
      </c>
      <c r="M13">
        <f t="shared" ca="1" si="5"/>
        <v>9</v>
      </c>
    </row>
    <row r="14" spans="2:15" x14ac:dyDescent="0.25">
      <c r="D14" s="1" t="str">
        <f t="shared" ca="1" si="0"/>
        <v>ъ</v>
      </c>
      <c r="E14" s="1" t="str">
        <f t="shared" ca="1" si="1"/>
        <v>ஞ</v>
      </c>
      <c r="F14" s="1" t="str">
        <f t="shared" ca="1" si="2"/>
        <v>юஏэறиф,ளб ஆчஏтஊ эмф р டчфпр ыஐடа_x000D_
юаஈыюள ஈжனрюьж னடஈ дь ஈпஞஈ ஞффс_x000D_
а эணи ஈп м п ஊмறыь рпஈюттфсаஐбр_x000D_
л ам ஏ вறлஊ டளஈ рண сюஏசஐனன чблட_x000D_
т фи фணஏ эыடли"жбэட оள ьச дஞэьч_x000D_
ஆ аஆ ளс னфறмடжбажச ьиஆаஊஈж ь றஞ_x000D_
ыடஆ ыррஊ арю вюи вஆ ச ч тஐэсэпன_x000D_
- ылчээпச ьசбьэб ஐтры дஞо фиஞыл_x000D_
-д சол ஏ ыж ணжжடд ணசп -ஏ ஏтடаறч_x000D_
ю пடஐо д ளпஏ паஈஆ о мளпஊ фжю эм_x000D_
бч னட ыஊчпмжறஏ фжсо юஏ ற ыжы ஏб_x000D_
л டбфт ளм ஈбனрь ஈп ю диஞன р ыво_x000D_
டбф т атр ச சறஆ ютв டьஞы ணдன ты_x000D_
ஆаள а лчсஞ ஐ чறனо с иஐ сளэфдஏас_x000D_
бஈрвஞв றஆ ஊ счоэсмஈனпணட ஊллоணфю_x000D_
ளள ணட и- с рьмன ளсооввюф вм прள_x000D_
றஆьиஞрсд лэб றы சчю ள этплஊ டனэ_x000D_
роэன ஞ,ஞ-эвஏф ж ஞ юо ஆж டю р ஐь_x000D_
ஞள ஏжஊчஆ ண ணறஏь оо в"ச சлд ஆ пи_x000D_
южыடஆஞற сс ணж ஈஏணдஈ срஈ лрன னиь_x000D_
иஏண ют пஞ ஞ тьвч плюணьணற люஊ ளы_x000D_
ы д сы ьஞ им ஐஐளюьбэ ஞ жоஈ ючэட_x000D_
в им ртюсஞஞы чஞஆитэணфь ஊஏ ண р-ஐ_x000D_
дஞ с мбот п дனмбд юдஐ с иஆмдறэф_x000D_
вьлடс лд"றஏ п р жь ஈஐஏчьюஏ ஐю,м_x000D_
ф ючணэчэпс டэфочஈ ஞணи,оற д эмஈன_x000D_
டஊилмсбр д чр аььдс ள дஞрв ஏчтв_x000D_
мюжடожр-ஏджюட лэб,м с в бэசஏஐஈஈ_x000D_
ьடணஐвбஞпஞ дடт ன ஏஊ ஆ ஐ ட рвж ணм_x000D_
ள рч п ஊ, ь эфணь ьффжஞотன ளсоит_x000D_
னр оச иன, с ஐм ன чю ஐற ч т ьчоэ_x000D_
л னளடч юஏдт ட"ற фэл டஏжпறஊ ஐси-_x000D_
и ஞв тஞмр ஊл рорசпч аஞ றпடч ஏчф_x000D_
ள ஊаஊсыьртஊணஆэஐஞь в р лணбசп юсф_x000D_
пю,ஆ м тю р тடюп чஞпфஆஏыр пளффп_x000D_
мஏвчணы тэ ற бюஆட ஏணஆசஊடэ о ввжч_x000D_
ыஊண соற டனணசடэஊ эஊ ыசஏрஊஊ ஈஈசஞд_x000D_
ட ளчфன дмпввஊ னаஐ ஆф а оஞ чюмым_x000D_
சрஞ ச и ணпфддод ச சпб ண чடஏыஐьஐ_x000D_
м эஆன ஆள, с иடав றс эஞжии эசюனச_x000D_
"ьффпடஊசв ட ஊфыண ஞьрбஈббсии ввஏ_x000D_
னэаஆ юэ ஐриஐ чс ண и бஏтыச ыளдனட_x000D_
плрஏаளளьன றю ள ஞопэччэடэ сள тлண_x000D_
мஊ ஏடஆоஆччж ணб ளஞ னд в றпள றசசы_x000D_
ирр ыл சы исбсдч ள с э ஞ ьвறஆдஊ_x000D_
сஞлвлд" ж-выд ளфпс ччв ஈор ஈтсன</v>
      </c>
      <c r="G14" s="1">
        <v>8</v>
      </c>
      <c r="H14" s="1" t="str">
        <f t="shared" ca="1" si="3"/>
        <v>ю6э4иф,5б1ч6т1эмфр7чфпры27а_x000D_
юа4ыю54ж6рюьж674дь4п848ффс_x000D_
аэ9и4пмп1м4ыьрп4юттфса2бр_x000D_
лам6в4л1754р9сю63266чбл7_x000D_
тфиф96эы7ли"жбэ7о5ь3д8эьч_x000D_
1а15с6ф4м7жбаж3ьи1а14жь48_x000D_
ы71ырр1арювюив13чт2эсэп6_x000D_
-ылчээп3ь3бьэб2трыд8офи8ыл_x000D_
-д3ол6ыж9жж7д93п-66т7а4ч_x000D_
юп72од5п6па41ом5п1фжюэм_x000D_
бч67ы1чпмж46фжсою64ыжы6б_x000D_
л7бфт5м4б6рь4пюди86рыво_x000D_
7бфтатр3341ютв7ь8ы9д6ты_x000D_
1а5алчс82ч46оси2с5эфд6ас_x000D_
б4рв8в411счоэсм46п971лло9фю_x000D_
5597и-срьм65сооввюфвмпр5_x000D_
41ьи8рсдлэб4ы3чю5этпл176э_x000D_
роэ68,8-эв6фж8юо1ж7юр2ь_x000D_
856ж1ч19946ьоов"33лд1пи_x000D_
южы7184сс9ж469д4ср4лр66иь_x000D_
и69ютп88тьвчплю9ь94лю15ы_x000D_
ыдсыь8им225юьбэ8жо4ючэ7_x000D_
вимртюс88ыч81итэ9фь169р-2_x000D_
д8смботпд6мбдюд2си1мд4эф_x000D_
вьл7слд"46пржь426чью62ю,м_x000D_
фюч9эчэпс7эфоч489и,о4дэм46_x000D_
71илмсбрдчраььдс5д8рв6чтв_x000D_
мюж7ожр-6джю7лэб,мсвбэ36244_x000D_
ь792вб8п8д7т661127рвж9м_x000D_
5рчп1,ьэф9ььффж8от65соит_x000D_
6ро3и6,с2м6чю24чтьчоэ_x000D_
л657чю6дт7"4фэл76жп412си-_x000D_
и8вт8мр1лрор3пча84п7ч6чф_x000D_
51а1сыьрт191э28ьврл9б3пюсф_x000D_
пю,1мтюрт7юпч8пф16ырп5ффп_x000D_
м6вч9ытэ4бю17691317эоввжч_x000D_
ы19со476937э1э1ы36р114438д_x000D_
75чф6дмпвв16а21фао8чюмым_x000D_
3р83и9пфддод33пб9ч76ы2ь2_x000D_
мэ1615,си7ав4сэ8жииэ3ю63_x000D_
"ьффп713в71фы98ьрб4ббсиивв6_x000D_
6эа1юэ2ри2чс9иб6ты3ы5д67_x000D_
плр6а55ь64ю58опэччэ7эс5тл9_x000D_
м1671о1ччж9б586дв4п5433ы_x000D_
иррыл3ыисбсдч5сэ8ьв41д1_x000D_
с8лвлд"ж-выд5фпсччв4ор4тс6</v>
      </c>
      <c r="I14" t="s">
        <v>9</v>
      </c>
      <c r="J14" s="38"/>
      <c r="L14">
        <f t="shared" ca="1" si="4"/>
        <v>6</v>
      </c>
      <c r="M14">
        <f t="shared" ca="1" si="5"/>
        <v>7</v>
      </c>
    </row>
    <row r="15" spans="2:15" x14ac:dyDescent="0.25">
      <c r="D15" s="1" t="str">
        <f t="shared" ca="1" si="0"/>
        <v>ф</v>
      </c>
      <c r="E15" s="1" t="str">
        <f t="shared" ca="1" si="1"/>
        <v>அ</v>
      </c>
      <c r="F15" s="1" t="str">
        <f t="shared" ca="1" si="2"/>
        <v>юஏэறиஅ,ளб ஆчஏтஊ эмஅ р டчஅпр ыஐடа_x000D_
юаஈыюள ஈжனрюьж னடஈ дь ஈпஞஈ ஞஅஅс_x000D_
а эணи ஈп м п ஊмறыь рпஈюттஅсаஐбр_x000D_
л ам ஏ вறлஊ டளஈ рண сюஏசஐனன чблட_x000D_
т அи அணஏ эыடли"жбэட оள ьச дஞэьч_x000D_
ஆ аஆ ளс னஅறмடжбажச ьиஆаஊஈж ь றஞ_x000D_
ыடஆ ыррஊ арю вюи вஆ ச ч тஐэсэпன_x000D_
- ылчээпச ьசбьэб ஐтры дஞо அиஞыл_x000D_
-д சол ஏ ыж ணжжடд ணசп -ஏ ஏтடаறч_x000D_
ю пடஐо д ளпஏ паஈஆ о мளпஊ அжю эм_x000D_
бч னட ыஊчпмжறஏ அжсо юஏ ற ыжы ஏб_x000D_
л டбஅт ளм ஈбனрь ஈп ю диஞன р ыво_x000D_
டбஅ т атр ச சறஆ ютв டьஞы ணдன ты_x000D_
ஆаள а лчсஞ ஐ чறனо с иஐ сளэஅдஏас_x000D_
бஈрвஞв றஆ ஊ счоэсмஈனпணட ஊллоணஅю_x000D_
ளள ணட и- с рьмன ளсооввюஅ вм прள_x000D_
றஆьиஞрсд лэб றы சчю ள этплஊ டனэ_x000D_
роэன ஞ,ஞ-эвஏஅ ж ஞ юо ஆж டю р ஐь_x000D_
ஞள ஏжஊчஆ ண ணறஏь оо в"ச சлд ஆ пи_x000D_
южыடஆஞற сс ணж ஈஏணдஈ срஈ лрன னиь_x000D_
иஏண ют пஞ ஞ тьвч плюணьணற люஊ ளы_x000D_
ы д сы ьஞ им ஐஐளюьбэ ஞ жоஈ ючэட_x000D_
в им ртюсஞஞы чஞஆитэணஅь ஊஏ ண р-ஐ_x000D_
дஞ с мбот п дனмбд юдஐ с иஆмдறэஅ_x000D_
вьлடс лд"றஏ п р жь ஈஐஏчьюஏ ஐю,м_x000D_
அ ючணэчэпс டэஅочஈ ஞணи,оற д эмஈன_x000D_
டஊилмсбр д чр аььдс ள дஞрв ஏчтв_x000D_
мюжடожр-ஏджюட лэб,м с в бэசஏஐஈஈ_x000D_
ьடணஐвбஞпஞ дடт ன ஏஊ ஆ ஐ ட рвж ணм_x000D_
ள рч п ஊ, ь эஅணь ьஅஅжஞотன ளсоит_x000D_
னр оச иன, с ஐм ன чю ஐற ч т ьчоэ_x000D_
л னளடч юஏдт ட"ற அэл டஏжпறஊ ஐси-_x000D_
и ஞв тஞмр ஊл рорசпч аஞ றпடч ஏчஅ_x000D_
ள ஊаஊсыьртஊணஆэஐஞь в р лணбசп юсஅ_x000D_
пю,ஆ м тю р тடюп чஞпஅஆஏыр пளஅஅп_x000D_
мஏвчணы тэ ற бюஆட ஏணஆசஊடэ о ввжч_x000D_
ыஊண соற டனணசடэஊ эஊ ыசஏрஊஊ ஈஈசஞд_x000D_
ட ளчஅன дмпввஊ னаஐ ஆஅ а оஞ чюмым_x000D_
சрஞ ச и ணпஅддод ச சпб ண чடஏыஐьஐ_x000D_
м эஆன ஆள, с иடав றс эஞжии эசюனச_x000D_
"ьஅஅпடஊசв ட ஊஅыண ஞьрбஈббсии ввஏ_x000D_
னэаஆ юэ ஐриஐ чс ண и бஏтыச ыளдனட_x000D_
плрஏаளளьன றю ள ஞопэччэடэ сள тлண_x000D_
мஊ ஏடஆоஆччж ணб ளஞ னд в றпள றசசы_x000D_
ирр ыл சы исбсдч ள с э ஞ ьвறஆдஊ_x000D_
сஞлвлд" ж-выд ளஅпс ччв ஈор ஈтсன</v>
      </c>
      <c r="G15" s="1">
        <v>2</v>
      </c>
      <c r="H15" s="1" t="str">
        <f t="shared" ca="1" si="3"/>
        <v>ю6э4и2,5б1ч6т1эм2р7ч2пры27а_x000D_
юа4ыю54ж6рюьж674дь4п84822с_x000D_
аэ9и4пмп1м4ыьрп4ютт2са2бр_x000D_
лам6в4л1754р9сю63266чбл7_x000D_
т2и296эы7ли"жбэ7о5ь3д8эьч_x000D_
1а15с624м7жбаж3ьи1а14жь48_x000D_
ы71ырр1арювюив13чт2эсэп6_x000D_
-ылчээп3ь3бьэб2трыд8о2и8ыл_x000D_
-д3ол6ыж9жж7д93п-66т7а4ч_x000D_
юп72од5п6па41ом5п12жюэм_x000D_
бч67ы1чпмж462жсою64ыжы6б_x000D_
л7б2т5м4б6рь4пюди86рыво_x000D_
7б2татр3341ютв7ь8ы9д6ты_x000D_
1а5алчс82ч46оси2с5э2д6ас_x000D_
б4рв8в411счоэсм46п971лло92ю_x000D_
5597и-срьм65сооввю2вмпр5_x000D_
41ьи8рсдлэб4ы3чю5этпл176э_x000D_
роэ68,8-эв62ж8юо1ж7юр2ь_x000D_
856ж1ч19946ьоов"33лд1пи_x000D_
южы7184сс9ж469д4ср4лр66иь_x000D_
и69ютп88тьвчплю9ь94лю15ы_x000D_
ыдсыь8им225юьбэ8жо4ючэ7_x000D_
вимртюс88ыч81итэ92ь169р-2_x000D_
д8смботпд6мбдюд2си1мд4э2_x000D_
вьл7слд"46пржь426чью62ю,м_x000D_
2юч9эчэпс7э2оч489и,о4дэм46_x000D_
71илмсбрдчраььдс5д8рв6чтв_x000D_
мюж7ожр-6джю7лэб,мсвбэ36244_x000D_
ь792вб8п8д7т661127рвж9м_x000D_
5рчп1,ьэ29ьь22ж8от65соит_x000D_
6ро3и6,с2м6чю24чтьчоэ_x000D_
л657чю6дт7"42эл76жп412си-_x000D_
и8вт8мр1лрор3пча84п7ч6ч2_x000D_
51а1сыьрт191э28ьврл9б3пюс2_x000D_
пю,1мтюрт7юпч8п216ырп522п_x000D_
м6вч9ытэ4бю17691317эоввжч_x000D_
ы19со476937э1э1ы36р114438д_x000D_
75ч26дмпвв16а212ао8чюмым_x000D_
3р83и9п2ддод33пб9ч76ы2ь2_x000D_
мэ1615,си7ав4сэ8жииэ3ю63_x000D_
"ь22п713в712ы98ьрб4ббсиивв6_x000D_
6эа1юэ2ри2чс9иб6ты3ы5д67_x000D_
плр6а55ь64ю58опэччэ7эс5тл9_x000D_
м1671о1ччж9б586дв4п5433ы_x000D_
иррыл3ыисбсдч5сэ8ьв41д1_x000D_
с8лвлд"ж-выд52псччв4ор4тс6</v>
      </c>
      <c r="I15" t="s">
        <v>9</v>
      </c>
      <c r="J15" s="38"/>
      <c r="L15">
        <f t="shared" ca="1" si="4"/>
        <v>0</v>
      </c>
      <c r="M15">
        <f t="shared" ca="1" si="5"/>
        <v>2</v>
      </c>
    </row>
    <row r="16" spans="2:15" x14ac:dyDescent="0.25">
      <c r="D16" s="1" t="str">
        <f t="shared" ca="1" si="0"/>
        <v>ы</v>
      </c>
      <c r="E16" s="1" t="str">
        <f t="shared" ca="1" si="1"/>
        <v>இ</v>
      </c>
      <c r="F16" s="1" t="str">
        <f t="shared" ca="1" si="2"/>
        <v>юஏэறиஅ,ளб ஆчஏтஊ эмஅ р டчஅпр இஐடа_x000D_
юаஈஇюள ஈжனрюьж னடஈ дь ஈпஞஈ ஞஅஅс_x000D_
а эணи ஈп м п ஊмறஇь рпஈюттஅсаஐбр_x000D_
л ам ஏ вறлஊ டளஈ рண сюஏசஐனன чблட_x000D_
т அи அணஏ эஇடли"жбэட оள ьச дஞэьч_x000D_
ஆ аஆ ளс னஅறмடжбажச ьиஆаஊஈж ь றஞ_x000D_
இடஆ இррஊ арю вюи вஆ ச ч тஐэсэпன_x000D_
- இлчээпச ьசбьэб ஐтрஇ дஞо அиஞஇл_x000D_
-д சол ஏ இж ணжжடд ணசп -ஏ ஏтடаறч_x000D_
ю пடஐо д ளпஏ паஈஆ о мளпஊ அжю эм_x000D_
бч னட இஊчпмжறஏ அжсо юஏ ற இжஇ ஏб_x000D_
л டбஅт ளм ஈбனрь ஈп ю диஞன р இво_x000D_
டбஅ т атр ச சறஆ ютв டьஞஇ ணдன тஇ_x000D_
ஆаள а лчсஞ ஐ чறனо с иஐ сளэஅдஏас_x000D_
бஈрвஞв றஆ ஊ счоэсмஈனпணட ஊллоணஅю_x000D_
ளள ணட и- с рьмன ளсооввюஅ вм прள_x000D_
றஆьиஞрсд лэб றஇ சчю ள этплஊ டனэ_x000D_
роэன ஞ,ஞ-эвஏஅ ж ஞ юо ஆж டю р ஐь_x000D_
ஞள ஏжஊчஆ ண ணறஏь оо в"ச சлд ஆ пи_x000D_
южஇடஆஞற сс ணж ஈஏணдஈ срஈ лрன னиь_x000D_
иஏண ют пஞ ஞ тьвч плюணьணற люஊ ளஇ_x000D_
இ д сஇ ьஞ им ஐஐளюьбэ ஞ жоஈ ючэட_x000D_
в им ртюсஞஞஇ чஞஆитэணஅь ஊஏ ண р-ஐ_x000D_
дஞ с мбот п дனмбд юдஐ с иஆмдறэஅ_x000D_
вьлடс лд"றஏ п р жь ஈஐஏчьюஏ ஐю,м_x000D_
அ ючணэчэпс டэஅочஈ ஞணи,оற д эмஈன_x000D_
டஊилмсбр д чр аььдс ள дஞрв ஏчтв_x000D_
мюжடожр-ஏджюட лэб,м с в бэசஏஐஈஈ_x000D_
ьடணஐвбஞпஞ дடт ன ஏஊ ஆ ஐ ட рвж ணм_x000D_
ள рч п ஊ, ь эஅணь ьஅஅжஞотன ளсоит_x000D_
னр оச иன, с ஐм ன чю ஐற ч т ьчоэ_x000D_
л னளடч юஏдт ட"ற அэл டஏжпறஊ ஐси-_x000D_
и ஞв тஞмр ஊл рорசпч аஞ றпடч ஏчஅ_x000D_
ள ஊаஊсஇьртஊணஆэஐஞь в р лணбசп юсஅ_x000D_
пю,ஆ м тю р тடюп чஞпஅஆஏஇр пளஅஅп_x000D_
мஏвчணஇ тэ ற бюஆட ஏணஆசஊடэ о ввжч_x000D_
இஊண соற டனணசடэஊ эஊ இசஏрஊஊ ஈஈசஞд_x000D_
ட ளчஅன дмпввஊ னаஐ ஆஅ а оஞ чюмஇм_x000D_
சрஞ ச и ணпஅддод ச சпб ண чடஏஇஐьஐ_x000D_
м эஆன ஆள, с иடав றс эஞжии эசюனச_x000D_
"ьஅஅпடஊசв ட ஊஅஇண ஞьрбஈббсии ввஏ_x000D_
னэаஆ юэ ஐриஐ чс ண и бஏтஇச இளдனட_x000D_
плрஏаளளьன றю ள ஞопэччэடэ сள тлண_x000D_
мஊ ஏடஆоஆччж ணб ளஞ னд в றпள றசசஇ_x000D_
ирр இл சஇ исбсдч ள с э ஞ ьвறஆдஊ_x000D_
сஞлвлд" ж-вஇд ளஅпс ччв ஈор ஈтсன</v>
      </c>
      <c r="G16" s="1">
        <v>9</v>
      </c>
      <c r="H16" s="1" t="str">
        <f t="shared" ca="1" si="3"/>
        <v>ю6э4и2,5б1ч6т1эм2р7ч2пр927а_x000D_
юа49ю54ж6рюьж674дь4п84822с_x000D_
аэ9и4пмп1м49ьрп4ютт2са2бр_x000D_
лам6в4л1754р9сю63266чбл7_x000D_
т2и296э97ли"жбэ7о5ь3д8эьч_x000D_
1а15с624м7жбаж3ьи1а14жь48_x000D_
9719рр1арювюив13чт2эсэп6_x000D_
-9лчээп3ь3бьэб2тр9д8о2и89л_x000D_
-д3ол69ж9жж7д93п-66т7а4ч_x000D_
юп72од5п6па41ом5п12жюэм_x000D_
бч6791чпмж462жсою649ж96б_x000D_
л7б2т5м4б6рь4пюди86р9во_x000D_
7б2татр3341ютв7ь899д6т9_x000D_
1а5алчс82ч46оси2с5э2д6ас_x000D_
б4рв8в411счоэсм46п971лло92ю_x000D_
5597и-срьм65сооввю2вмпр5_x000D_
41ьи8рсдлэб493чю5этпл176э_x000D_
роэ68,8-эв62ж8юо1ж7юр2ь_x000D_
856ж1ч19946ьоов"33лд1пи_x000D_
юж97184сс9ж469д4ср4лр66иь_x000D_
и69ютп88тьвчплю9ь94лю159_x000D_
9дс9ь8им225юьбэ8жо4ючэ7_x000D_
вимртюс889ч81итэ92ь169р-2_x000D_
д8смботпд6мбдюд2си1мд4э2_x000D_
вьл7слд"46пржь426чью62ю,м_x000D_
2юч9эчэпс7э2оч489и,о4дэм46_x000D_
71илмсбрдчраььдс5д8рв6чтв_x000D_
мюж7ожр-6джю7лэб,мсвбэ36244_x000D_
ь792вб8п8д7т661127рвж9м_x000D_
5рчп1,ьэ29ьь22ж8от65соит_x000D_
6ро3и6,с2м6чю24чтьчоэ_x000D_
л657чю6дт7"42эл76жп412си-_x000D_
и8вт8мр1лрор3пча84п7ч6ч2_x000D_
51а1с9ьрт191э28ьврл9б3пюс2_x000D_
пю,1мтюрт7юпч8п2169рп522п_x000D_
м6вч99тэ4бю17691317эоввжч_x000D_
919со476937э1э1936р114438д_x000D_
75ч26дмпвв16а212ао8чюм9м_x000D_
3р83и9п2ддод33пб9ч7692ь2_x000D_
мэ1615,си7ав4сэ8жииэ3ю63_x000D_
"ь22п713в712998ьрб4ббсиивв6_x000D_
6эа1юэ2ри2чс9иб6т9395д67_x000D_
плр6а55ь64ю58опэччэ7эс5тл9_x000D_
м1671о1ччж9б586дв4п54339_x000D_
ирр9л39исбсдч5сэ8ьв41д1_x000D_
с8лвлд"ж-в9д52псччв4ор4тс6</v>
      </c>
      <c r="I16" t="s">
        <v>9</v>
      </c>
      <c r="J16" s="38"/>
      <c r="L16">
        <f t="shared" ca="1" si="4"/>
        <v>1</v>
      </c>
      <c r="M16">
        <f t="shared" ca="1" si="5"/>
        <v>5</v>
      </c>
    </row>
    <row r="17" spans="4:13" x14ac:dyDescent="0.25">
      <c r="D17" s="1" t="str">
        <f t="shared" ca="1" si="0"/>
        <v>в</v>
      </c>
      <c r="E17" s="1" t="str">
        <f t="shared" ca="1" si="1"/>
        <v>உ</v>
      </c>
      <c r="F17" s="1" t="str">
        <f t="shared" ca="1" si="2"/>
        <v>юஏэறиஅ,ளб ஆчஏтஊ эмஅ р டчஅпр இஐடа_x000D_
юаஈஇюள ஈжனрюьж னடஈ дь ஈпஞஈ ஞஅஅс_x000D_
а эணи ஈп м п ஊмறஇь рпஈюттஅсаஐбр_x000D_
л ам ஏ உறлஊ டளஈ рண сюஏசஐனன чблட_x000D_
т அи அணஏ эஇடли"жбэட оள ьச дஞэьч_x000D_
ஆ аஆ ளс னஅறмடжбажச ьиஆаஊஈж ь றஞ_x000D_
இடஆ இррஊ арю உюи உஆ ச ч тஐэсэпன_x000D_
- இлчээпச ьசбьэб ஐтрஇ дஞо அиஞஇл_x000D_
-д சол ஏ இж ணжжடд ணசп -ஏ ஏтடаறч_x000D_
ю пடஐо д ளпஏ паஈஆ о мளпஊ அжю эм_x000D_
бч னட இஊчпмжறஏ அжсо юஏ ற இжஇ ஏб_x000D_
л டбஅт ளм ஈбனрь ஈп ю диஞன р இஉо_x000D_
டбஅ т атр ச சறஆ ютஉ டьஞஇ ணдன тஇ_x000D_
ஆаள а лчсஞ ஐ чறனо с иஐ сளэஅдஏас_x000D_
бஈрஉஞஉ றஆ ஊ счоэсмஈனпணட ஊллоணஅю_x000D_
ளள ணட и- с рьмன ளсооஉஉюஅ உм прள_x000D_
றஆьиஞрсд лэб றஇ சчю ள этплஊ டனэ_x000D_
роэன ஞ,ஞ-эஉஏஅ ж ஞ юо ஆж டю р ஐь_x000D_
ஞள ஏжஊчஆ ண ணறஏь оо உ"ச சлд ஆ пи_x000D_
южஇடஆஞற сс ணж ஈஏணдஈ срஈ лрன னиь_x000D_
иஏண ют пஞ ஞ тьஉч плюணьணற люஊ ளஇ_x000D_
இ д сஇ ьஞ им ஐஐளюьбэ ஞ жоஈ ючэட_x000D_
உ им ртюсஞஞஇ чஞஆитэணஅь ஊஏ ண р-ஐ_x000D_
дஞ с мбот п дனмбд юдஐ с иஆмдறэஅ_x000D_
உьлடс лд"றஏ п р жь ஈஐஏчьюஏ ஐю,м_x000D_
அ ючணэчэпс டэஅочஈ ஞணи,оற д эмஈன_x000D_
டஊилмсбр д чр аььдс ள дஞрஉ ஏчтஉ_x000D_
мюжடожр-ஏджюட лэб,м с உ бэசஏஐஈஈ_x000D_
ьடணஐஉбஞпஞ дடт ன ஏஊ ஆ ஐ ட рஉж ணм_x000D_
ள рч п ஊ, ь эஅணь ьஅஅжஞотன ளсоит_x000D_
னр оச иன, с ஐм ன чю ஐற ч т ьчоэ_x000D_
л னளடч юஏдт ட"ற அэл டஏжпறஊ ஐси-_x000D_
и ஞஉ тஞмр ஊл рорசпч аஞ றпடч ஏчஅ_x000D_
ள ஊаஊсஇьртஊணஆэஐஞь உ р лணбசп юсஅ_x000D_
пю,ஆ м тю р тடюп чஞпஅஆஏஇр пளஅஅп_x000D_
мஏஉчணஇ тэ ற бюஆட ஏணஆசஊடэ о உஉжч_x000D_
இஊண соற டனணசடэஊ эஊ இசஏрஊஊ ஈஈசஞд_x000D_
ட ளчஅன дмпஉஉஊ னаஐ ஆஅ а оஞ чюмஇм_x000D_
சрஞ ச и ணпஅддод ச சпб ண чடஏஇஐьஐ_x000D_
м эஆன ஆள, с иடаஉ றс эஞжии эசюனச_x000D_
"ьஅஅпடஊசஉ ட ஊஅஇண ஞьрбஈббсии உஉஏ_x000D_
னэаஆ юэ ஐриஐ чс ண и бஏтஇச இளдனட_x000D_
плрஏаளளьன றю ள ஞопэччэடэ сள тлண_x000D_
мஊ ஏடஆоஆччж ணб ளஞ னд உ றпள றசசஇ_x000D_
ирр இл சஇ исбсдч ள с э ஞ ьஉறஆдஊ_x000D_
сஞлஉлд" ж-உஇд ளஅпс ччஉ ஈор ஈтсன</v>
      </c>
      <c r="G17" s="1">
        <v>3</v>
      </c>
      <c r="H17" s="1" t="str">
        <f t="shared" ca="1" si="3"/>
        <v>ю6э4и2,5б1ч6т1эм2р7ч2пр927а_x000D_
юа49ю54ж6рюьж674дь4п84822с_x000D_
аэ9и4пмп1м49ьрп4ютт2са2бр_x000D_
лам634л1754р9сю63266чбл7_x000D_
т2и296э97ли"жбэ7о5ь3д8эьч_x000D_
1а15с624м7жбаж3ьи1а14жь48_x000D_
9719рр1арю3юи313чт2эсэп6_x000D_
-9лчээп3ь3бьэб2тр9д8о2и89л_x000D_
-д3ол69ж9жж7д93п-66т7а4ч_x000D_
юп72од5п6па41ом5п12жюэм_x000D_
бч6791чпмж462жсою649ж96б_x000D_
л7б2т5м4б6рь4пюди86р93о_x000D_
7б2татр3341ют37ь899д6т9_x000D_
1а5алчс82ч46оси2с5э2д6ас_x000D_
б4р383411счоэсм46п971лло92ю_x000D_
5597и-срьм65соо33ю23мпр5_x000D_
41ьи8рсдлэб493чю5этпл176э_x000D_
роэ68,8-э362ж8юо1ж7юр2ь_x000D_
856ж1ч19946ьоо3"33лд1пи_x000D_
юж97184сс9ж469д4ср4лр66иь_x000D_
и69ютп88ть3чплю9ь94лю159_x000D_
9дс9ь8им225юьбэ8жо4ючэ7_x000D_
3имртюс889ч81итэ92ь169р-2_x000D_
д8смботпд6мбдюд2си1мд4э2_x000D_
3ьл7слд"46пржь426чью62ю,м_x000D_
2юч9эчэпс7э2оч489и,о4дэм46_x000D_
71илмсбрдчраььдс5д8р36чт3_x000D_
мюж7ожр-6джю7лэб,мс3бэ36244_x000D_
ь7923б8п8д7т661127р3ж9м_x000D_
5рчп1,ьэ29ьь22ж8от65соит_x000D_
6ро3и6,с2м6чю24чтьчоэ_x000D_
л657чю6дт7"42эл76жп412си-_x000D_
и83т8мр1лрор3пча84п7ч6ч2_x000D_
51а1с9ьрт191э28ь3рл9б3пюс2_x000D_
пю,1мтюрт7юпч8п2169рп522п_x000D_
м63ч99тэ4бю17691317эо33жч_x000D_
919со476937э1э1936р114438д_x000D_
75ч26дмп3316а212ао8чюм9м_x000D_
3р83и9п2ддод33пб9ч7692ь2_x000D_
мэ1615,си7а34сэ8жииэ3ю63_x000D_
"ь22п7133712998ьрб4ббсии336_x000D_
6эа1юэ2ри2чс9иб6т9395д67_x000D_
плр6а55ь64ю58опэччэ7эс5тл9_x000D_
м1671о1ччж9б586д34п54339_x000D_
ирр9л39исбсдч5сэ8ь341д1_x000D_
с8л3лд"ж-39д52псчч34ор4тс6</v>
      </c>
      <c r="I17" t="s">
        <v>9</v>
      </c>
      <c r="J17" s="38"/>
      <c r="L17">
        <f t="shared" ca="1" si="4"/>
        <v>1</v>
      </c>
      <c r="M17">
        <f t="shared" ca="1" si="5"/>
        <v>5</v>
      </c>
    </row>
    <row r="18" spans="4:13" x14ac:dyDescent="0.25">
      <c r="D18" s="1" t="str">
        <f t="shared" ca="1" si="0"/>
        <v>а</v>
      </c>
      <c r="E18" s="1" t="str">
        <f t="shared" ca="1" si="1"/>
        <v>்</v>
      </c>
      <c r="F18" s="1" t="str">
        <f t="shared" ca="1" si="2"/>
        <v>юஏэறиஅ,ளб ஆчஏтஊ эмஅ р டчஅпр இஐட்_x000D_
ю்ஈஇюள ஈжனрюьж னடஈ дь ஈпஞஈ ஞஅஅс_x000D_
் эணи ஈп м п ஊмறஇь рпஈюттஅс்ஐбр_x000D_
л ்м ஏ உறлஊ டளஈ рண сюஏசஐனன чблட_x000D_
т அи அணஏ эஇடли"жбэட оள ьச дஞэьч_x000D_
ஆ ்ஆ ளс னஅறмடжб்жச ьиஆ்ஊஈж ь றஞ_x000D_
இடஆ இррஊ ்рю உюи உஆ ச ч тஐэсэпன_x000D_
- இлчээпச ьசбьэб ஐтрஇ дஞо அиஞஇл_x000D_
-д சол ஏ இж ணжжடд ணசп -ஏ ஏтட்றч_x000D_
ю пடஐо д ளпஏ п்ஈஆ о мளпஊ அжю эм_x000D_
бч னட இஊчпмжறஏ அжсо юஏ ற இжஇ ஏб_x000D_
л டбஅт ளм ஈбனрь ஈп ю диஞன р இஉо_x000D_
டбஅ т ்тр ச சறஆ ютஉ டьஞஇ ணдன тஇ_x000D_
ஆ்ள ் лчсஞ ஐ чறனо с иஐ сளэஅдஏ்с_x000D_
бஈрஉஞஉ றஆ ஊ счоэсмஈனпணட ஊллоணஅю_x000D_
ளள ணட и- с рьмன ளсооஉஉюஅ உм прள_x000D_
றஆьиஞрсд лэб றஇ சчю ள этплஊ டனэ_x000D_
роэன ஞ,ஞ-эஉஏஅ ж ஞ юо ஆж டю р ஐь_x000D_
ஞள ஏжஊчஆ ண ணறஏь оо உ"ச சлд ஆ пи_x000D_
южஇடஆஞற сс ணж ஈஏணдஈ срஈ лрன னиь_x000D_
иஏண ют пஞ ஞ тьஉч плюணьணற люஊ ளஇ_x000D_
இ д сஇ ьஞ им ஐஐளюьбэ ஞ жоஈ ючэட_x000D_
உ им ртюсஞஞஇ чஞஆитэணஅь ஊஏ ண р-ஐ_x000D_
дஞ с мбот п дனмбд юдஐ с иஆмдறэஅ_x000D_
உьлடс лд"றஏ п р жь ஈஐஏчьюஏ ஐю,м_x000D_
அ ючணэчэпс டэஅочஈ ஞணи,оற д эмஈன_x000D_
டஊилмсбр д чр ்ььдс ள дஞрஉ ஏчтஉ_x000D_
мюжடожр-ஏджюட лэб,м с உ бэசஏஐஈஈ_x000D_
ьடணஐஉбஞпஞ дடт ன ஏஊ ஆ ஐ ட рஉж ணм_x000D_
ள рч п ஊ, ь эஅணь ьஅஅжஞотன ளсоит_x000D_
னр оச иன, с ஐм ன чю ஐற ч т ьчоэ_x000D_
л னளடч юஏдт ட"ற அэл டஏжпறஊ ஐси-_x000D_
и ஞஉ тஞмр ஊл рорசпч ்ஞ றпடч ஏчஅ_x000D_
ள ஊ்ஊсஇьртஊணஆэஐஞь உ р лணбசп юсஅ_x000D_
пю,ஆ м тю р тடюп чஞпஅஆஏஇр пளஅஅп_x000D_
мஏஉчணஇ тэ ற бюஆட ஏணஆசஊடэ о உஉжч_x000D_
இஊண соற டனணசடэஊ эஊ இசஏрஊஊ ஈஈசஞд_x000D_
ட ளчஅன дмпஉஉஊ ன்ஐ ஆஅ ் оஞ чюмஇм_x000D_
சрஞ ச и ணпஅддод ச சпб ண чடஏஇஐьஐ_x000D_
м эஆன ஆள, с иட்உ றс эஞжии эசюனச_x000D_
"ьஅஅпடஊசஉ ட ஊஅஇண ஞьрбஈббсии உஉஏ_x000D_
னэ்ஆ юэ ஐриஐ чс ண и бஏтஇச இளдனட_x000D_
плрஏ்ளளьன றю ள ஞопэччэடэ сள тлண_x000D_
мஊ ஏடஆоஆччж ணб ளஞ னд உ றпள றசசஇ_x000D_
ирр இл சஇ исбсдч ள с э ஞ ьஉறஆдஊ_x000D_
сஞлஉлд" ж-உஇд ளஅпс ччஉ ஈор ஈтсன</v>
      </c>
      <c r="G18" s="1">
        <v>1</v>
      </c>
      <c r="H18" s="1" t="str">
        <f t="shared" ca="1" si="3"/>
        <v>ю6э4и2,5б1ч6т1эм2р7ч2пр9271_x000D_
ю149ю54ж6рюьж674дь4п84822с_x000D_
1э9и4пмп1м49ьрп4ютт2с12бр_x000D_
л1м634л1754р9сю63266чбл7_x000D_
т2и296э97ли"жбэ7о5ь3д8эьч_x000D_
1115с624м7жб1ж3ьи1114жь48_x000D_
9719рр11рю3юи313чт2эсэп6_x000D_
-9лчээп3ь3бьэб2тр9д8о2и89л_x000D_
-д3ол69ж9жж7д93п-66т714ч_x000D_
юп72од5п6п141ом5п12жюэм_x000D_
бч6791чпмж462жсою649ж96б_x000D_
л7б2т5м4б6рь4пюди86р93о_x000D_
7б2т1тр3341ют37ь899д6т9_x000D_
1151лчс82ч46оси2с5э2д61с_x000D_
б4р383411счоэсм46п971лло92ю_x000D_
5597и-срьм65соо33ю23мпр5_x000D_
41ьи8рсдлэб493чю5этпл176э_x000D_
роэ68,8-э362ж8юо1ж7юр2ь_x000D_
856ж1ч19946ьоо3"33лд1пи_x000D_
юж97184сс9ж469д4ср4лр66иь_x000D_
и69ютп88ть3чплю9ь94лю159_x000D_
9дс9ь8им225юьбэ8жо4ючэ7_x000D_
3имртюс889ч81итэ92ь169р-2_x000D_
д8смботпд6мбдюд2си1мд4э2_x000D_
3ьл7слд"46пржь426чью62ю,м_x000D_
2юч9эчэпс7э2оч489и,о4дэм46_x000D_
71илмсбрдчр1ььдс5д8р36чт3_x000D_
мюж7ожр-6джю7лэб,мс3бэ36244_x000D_
ь7923б8п8д7т661127р3ж9м_x000D_
5рчп1,ьэ29ьь22ж8от65соит_x000D_
6ро3и6,с2м6чю24чтьчоэ_x000D_
л657чю6дт7"42эл76жп412си-_x000D_
и83т8мр1лрор3пч184п7ч6ч2_x000D_
5111с9ьрт191э28ь3рл9б3пюс2_x000D_
пю,1мтюрт7юпч8п2169рп522п_x000D_
м63ч99тэ4бю17691317эо33жч_x000D_
919со476937э1э1936р114438д_x000D_
75ч26дмп331612121о8чюм9м_x000D_
3р83и9п2ддод33пб9ч7692ь2_x000D_
мэ1615,си7134сэ8жииэ3ю63_x000D_
"ь22п7133712998ьрб4ббсии336_x000D_
6э11юэ2ри2чс9иб6т9395д67_x000D_
плр6155ь64ю58опэччэ7эс5тл9_x000D_
м1671о1ччж9б586д34п54339_x000D_
ирр9л39исбсдч5сэ8ь341д1_x000D_
с8л3лд"ж-39д52псчч34ор4тс6</v>
      </c>
      <c r="I18" t="s">
        <v>9</v>
      </c>
      <c r="J18" s="38"/>
      <c r="L18">
        <f t="shared" ca="1" si="4"/>
        <v>4</v>
      </c>
      <c r="M18">
        <f t="shared" ca="1" si="5"/>
        <v>9</v>
      </c>
    </row>
    <row r="19" spans="4:13" x14ac:dyDescent="0.25">
      <c r="D19" s="1" t="str">
        <f t="shared" ca="1" si="0"/>
        <v>п</v>
      </c>
      <c r="E19" s="1" t="str">
        <f t="shared" ca="1" si="1"/>
        <v>எ</v>
      </c>
      <c r="F19" s="1" t="str">
        <f t="shared" ca="1" si="2"/>
        <v>юஏэறиஅ,ளб ஆчஏтஊ эмஅ р டчஅஎр இஐட்_x000D_
ю்ஈஇюள ஈжனрюьж னடஈ дь ஈஎஞஈ ஞஅஅс_x000D_
் эணи ஈஎ м எ ஊмறஇь рஎஈюттஅс்ஐбр_x000D_
л ்м ஏ உறлஊ டளஈ рண сюஏசஐனன чблட_x000D_
т அи அணஏ эஇடли"жбэட оள ьச дஞэьч_x000D_
ஆ ்ஆ ளс னஅறмடжб்жச ьиஆ்ஊஈж ь றஞ_x000D_
இடஆ இррஊ ்рю உюи உஆ ச ч тஐэсэஎன_x000D_
- இлчээஎச ьசбьэб ஐтрஇ дஞо அиஞஇл_x000D_
-д சол ஏ இж ணжжடд ணசஎ -ஏ ஏтட்றч_x000D_
ю எடஐо д ளஎஏ எ்ஈஆ о мளஎஊ அжю эм_x000D_
бч னட இஊчஎмжறஏ அжсо юஏ ற இжஇ ஏб_x000D_
л டбஅт ளм ஈбனрь ஈஎ ю диஞன р இஉо_x000D_
டбஅ т ்тр ச சறஆ ютஉ டьஞஇ ணдன тஇ_x000D_
ஆ்ள ் лчсஞ ஐ чறனо с иஐ сளэஅдஏ்с_x000D_
бஈрஉஞஉ றஆ ஊ счоэсмஈனஎணட ஊллоணஅю_x000D_
ளள ணட и- с рьмன ளсооஉஉюஅ உм எрள_x000D_
றஆьиஞрсд лэб றஇ சчю ள этஎлஊ டனэ_x000D_
роэன ஞ,ஞ-эஉஏஅ ж ஞ юо ஆж டю р ஐь_x000D_
ஞள ஏжஊчஆ ண ணறஏь оо உ"ச சлд ஆ எи_x000D_
южஇடஆஞற сс ணж ஈஏணдஈ срஈ лрன னиь_x000D_
иஏண ют எஞ ஞ тьஉч எлюணьணற люஊ ளஇ_x000D_
இ д сஇ ьஞ им ஐஐளюьбэ ஞ жоஈ ючэட_x000D_
உ им ртюсஞஞஇ чஞஆитэணஅь ஊஏ ண р-ஐ_x000D_
дஞ с мбот எ дனмбд юдஐ с иஆмдறэஅ_x000D_
உьлடс лд"றஏ எ р жь ஈஐஏчьюஏ ஐю,м_x000D_
அ ючணэчэஎс டэஅочஈ ஞணи,оற д эмஈன_x000D_
டஊилмсбр д чр ்ььдс ள дஞрஉ ஏчтஉ_x000D_
мюжடожр-ஏджюட лэб,м с உ бэசஏஐஈஈ_x000D_
ьடணஐஉбஞஎஞ дடт ன ஏஊ ஆ ஐ ட рஉж ணм_x000D_
ள рч எ ஊ, ь эஅணь ьஅஅжஞотன ளсоит_x000D_
னр оச иன, с ஐм ன чю ஐற ч т ьчоэ_x000D_
л னளடч юஏдт ட"ற அэл டஏжஎறஊ ஐси-_x000D_
и ஞஉ тஞмр ஊл рорசஎч ்ஞ றஎடч ஏчஅ_x000D_
ள ஊ்ஊсஇьртஊணஆэஐஞь உ р лணбசஎ юсஅ_x000D_
எю,ஆ м тю р тடюஎ чஞஎஅஆஏஇр எளஅஅஎ_x000D_
мஏஉчணஇ тэ ற бюஆட ஏணஆசஊடэ о உஉжч_x000D_
இஊண соற டனணசடэஊ эஊ இசஏрஊஊ ஈஈசஞд_x000D_
ட ளчஅன дмஎஉஉஊ ன்ஐ ஆஅ ் оஞ чюмஇм_x000D_
சрஞ ச и ணஎஅддод ச சஎб ண чடஏஇஐьஐ_x000D_
м эஆன ஆள, с иட்உ றс эஞжии эசюனச_x000D_
"ьஅஅஎடஊசஉ ட ஊஅஇண ஞьрбஈббсии உஉஏ_x000D_
னэ்ஆ юэ ஐриஐ чс ண и бஏтஇச இளдனட_x000D_
எлрஏ்ளளьன றю ள ஞоஎэччэடэ сள тлண_x000D_
мஊ ஏடஆоஆччж ணб ளஞ னд உ றஎள றசசஇ_x000D_
ирр இл சஇ исбсдч ள с э ஞ ьஉறஆдஊ_x000D_
сஞлஉлд" ж-உஇд ளஅஎс ччஉ ஈор ஈтсன</v>
      </c>
      <c r="G19" s="1">
        <v>7</v>
      </c>
      <c r="H19" s="1" t="str">
        <f t="shared" ca="1" si="3"/>
        <v>ю6э4и2,5б1ч6т1эм2р7ч27р9271_x000D_
ю149ю54ж6рюьж674дь4784822с_x000D_
1э9и47м71м49ьр74ютт2с12бр_x000D_
л1м634л1754р9сю63266чбл7_x000D_
т2и296э97ли"жбэ7о5ь3д8эьч_x000D_
1115с624м7жб1ж3ьи1114жь48_x000D_
9719рр11рю3юи313чт2эсэ76_x000D_
-9лчээ73ь3бьэб2тр9д8о2и89л_x000D_
-д3ол69ж9жж7д937-66т714ч_x000D_
ю772од5767141ом5712жюэм_x000D_
бч6791ч7мж462жсою649ж96б_x000D_
л7б2т5м4б6рь47юди86р93о_x000D_
7б2т1тр3341ют37ь899д6т9_x000D_
1151лчс82ч46оси2с5э2д61с_x000D_
б4р383411счоэсм467971лло92ю_x000D_
5597и-срьм65соо33ю23м7р5_x000D_
41ьи8рсдлэб493чю5эт7л176э_x000D_
роэ68,8-э362ж8юо1ж7юр2ь_x000D_
856ж1ч19946ьоо3"33лд17и_x000D_
юж97184сс9ж469д4ср4лр66иь_x000D_
и69ют788ть3ч7лю9ь94лю159_x000D_
9дс9ь8им225юьбэ8жо4ючэ7_x000D_
3имртюс889ч81итэ92ь169р-2_x000D_
д8смбот7д6мбдюд2си1мд4э2_x000D_
3ьл7слд"467ржь426чью62ю,м_x000D_
2юч9эчэ7с7э2оч489и,о4дэм46_x000D_
71илмсбрдчр1ььдс5д8р36чт3_x000D_
мюж7ожр-6джю7лэб,мс3бэ36244_x000D_
ь7923б878д7т661127р3ж9м_x000D_
5рч71,ьэ29ьь22ж8от65соит_x000D_
6ро3и6,с2м6чю24чтьчоэ_x000D_
л657чю6дт7"42эл76ж7412си-_x000D_
и83т8мр1лрор37ч18477ч6ч2_x000D_
5111с9ьрт191э28ь3рл9б37юс2_x000D_
7ю,1мтюрт7ю7ч872169р75227_x000D_
м63ч99тэ4бю17691317эо33жч_x000D_
919со476937э1э1936р114438д_x000D_
75ч26дм7331612121о8чюм9м_x000D_
3р83и972ддод337б9ч7692ь2_x000D_
мэ1615,си7134сэ8жииэ3ю63_x000D_
"ь2277133712998ьрб4ббсии336_x000D_
6э11юэ2ри2чс9иб6т9395д67_x000D_
7лр6155ь64ю58о7эччэ7эс5тл9_x000D_
м1671о1ччж9б586д34754339_x000D_
ирр9л39исбсдч5сэ8ь341д1_x000D_
с8л3лд"ж-39д527счч34ор4тс6</v>
      </c>
      <c r="I19" t="s">
        <v>9</v>
      </c>
      <c r="J19" s="38"/>
      <c r="L19">
        <f t="shared" ca="1" si="4"/>
        <v>2</v>
      </c>
      <c r="M19">
        <f t="shared" ca="1" si="5"/>
        <v>3</v>
      </c>
    </row>
    <row r="20" spans="4:13" x14ac:dyDescent="0.25">
      <c r="D20" s="1" t="str">
        <f t="shared" ca="1" si="0"/>
        <v>р</v>
      </c>
      <c r="E20" s="1" t="str">
        <f t="shared" ca="1" si="1"/>
        <v>க</v>
      </c>
      <c r="F20" s="1" t="str">
        <f t="shared" ca="1" si="2"/>
        <v>юஏэறиஅ,ளб ஆчஏтஊ эмஅ க டчஅஎக இஐட்_x000D_
ю்ஈஇюள ஈжனகюьж னடஈ дь ஈஎஞஈ ஞஅஅс_x000D_
் эணи ஈஎ м எ ஊмறஇь கஎஈюттஅс்ஐбக_x000D_
л ்м ஏ உறлஊ டளஈ கண сюஏசஐனன чблட_x000D_
т அи அணஏ эஇடли"жбэட оள ьச дஞэьч_x000D_
ஆ ்ஆ ளс னஅறмடжб்жச ьиஆ்ஊஈж ь றஞ_x000D_
இடஆ இககஊ ்கю உюи உஆ ச ч тஐэсэஎன_x000D_
- இлчээஎச ьசбьэб ஐтகஇ дஞо அиஞஇл_x000D_
-д சол ஏ இж ணжжடд ணசஎ -ஏ ஏтட்றч_x000D_
ю எடஐо д ளஎஏ எ்ஈஆ о мளஎஊ அжю эм_x000D_
бч னட இஊчஎмжறஏ அжсо юஏ ற இжஇ ஏб_x000D_
л டбஅт ளм ஈбனகь ஈஎ ю диஞன க இஉо_x000D_
டбஅ т ்тக ச சறஆ ютஉ டьஞஇ ணдன тஇ_x000D_
ஆ்ள ் лчсஞ ஐ чறனо с иஐ сளэஅдஏ்с_x000D_
бஈகஉஞஉ றஆ ஊ счоэсмஈனஎணட ஊллоணஅю_x000D_
ளள ணட и- с கьмன ளсооஉஉюஅ உм எகள_x000D_
றஆьиஞகсд лэб றஇ சчю ள этஎлஊ டனэ_x000D_
கоэன ஞ,ஞ-эஉஏஅ ж ஞ юо ஆж டю க ஐь_x000D_
ஞள ஏжஊчஆ ண ணறஏь оо உ"ச சлд ஆ எи_x000D_
южஇடஆஞற сс ணж ஈஏணдஈ сகஈ лகன னиь_x000D_
иஏண ют எஞ ஞ тьஉч எлюணьணற люஊ ளஇ_x000D_
இ д сஇ ьஞ им ஐஐளюьбэ ஞ жоஈ ючэட_x000D_
உ им கтюсஞஞஇ чஞஆитэணஅь ஊஏ ண க-ஐ_x000D_
дஞ с мбот எ дனмбд юдஐ с иஆмдறэஅ_x000D_
உьлடс лд"றஏ எ க жь ஈஐஏчьюஏ ஐю,м_x000D_
அ ючணэчэஎс டэஅочஈ ஞணи,оற д эмஈன_x000D_
டஊилмсбக д чக ்ььдс ள дஞகஉ ஏчтஉ_x000D_
мюжடожக-ஏджюட лэб,м с உ бэசஏஐஈஈ_x000D_
ьடணஐஉбஞஎஞ дடт ன ஏஊ ஆ ஐ ட கஉж ணм_x000D_
ள கч எ ஊ, ь эஅணь ьஅஅжஞотன ளсоит_x000D_
னக оச иன, с ஐм ன чю ஐற ч т ьчоэ_x000D_
л னளடч юஏдт ட"ற அэл டஏжஎறஊ ஐси-_x000D_
и ஞஉ тஞмக ஊл கоகசஎч ்ஞ றஎடч ஏчஅ_x000D_
ள ஊ்ஊсஇьகтஊணஆэஐஞь உ க лணбசஎ юсஅ_x000D_
எю,ஆ м тю க тடюஎ чஞஎஅஆஏஇக எளஅஅஎ_x000D_
мஏஉчணஇ тэ ற бюஆட ஏணஆசஊடэ о உஉжч_x000D_
இஊண соற டனணசடэஊ эஊ இசஏகஊஊ ஈஈசஞд_x000D_
ட ளчஅன дмஎஉஉஊ ன்ஐ ஆஅ ் оஞ чюмஇм_x000D_
சகஞ ச и ணஎஅддод ச சஎб ண чடஏஇஐьஐ_x000D_
м эஆன ஆள, с иட்உ றс эஞжии эசюனச_x000D_
"ьஅஅஎடஊசஉ ட ஊஅஇண ஞьகбஈббсии உஉஏ_x000D_
னэ்ஆ юэ ஐகиஐ чс ண и бஏтஇச இளдனட_x000D_
எлகஏ்ளளьன றю ள ஞоஎэччэடэ сள тлண_x000D_
мஊ ஏடஆоஆччж ணб ளஞ னд உ றஎள றசசஇ_x000D_
иகக இл சஇ исбсдч ள с э ஞ ьஉறஆдஊ_x000D_
сஞлஉлд" ж-உஇд ளஅஎс ччஉ ஈоக ஈтсன</v>
      </c>
      <c r="G20" s="1">
        <v>8</v>
      </c>
      <c r="H20" s="1" t="str">
        <f t="shared" ca="1" si="3"/>
        <v>ю6э4и2,5б1ч6т1эм287ч2789271_x000D_
ю149ю54ж68юьж674дь4784822с_x000D_
1э9и47м71м49ь874ютт2с12б8_x000D_
л1м634л175489сю63266чбл7_x000D_
т2и296э97ли"жбэ7о5ь3д8эьч_x000D_
1115с624м7жб1ж3ьи1114жь48_x000D_
971988118ю3юи313чт2эсэ76_x000D_
-9лчээ73ь3бьэб2т89д8о2и89л_x000D_
-д3ол69ж9жж7д937-66т714ч_x000D_
ю772од5767141ом5712жюэм_x000D_
бч6791ч7мж462жсою649ж96б_x000D_
л7б2т5м4б68ь47юди86893о_x000D_
7б2т1т83341ют37ь899д6т9_x000D_
1151лчс82ч46оси2с5э2д61с_x000D_
б48383411счоэсм467971лло92ю_x000D_
5597и-с8ьм65соо33ю23м785_x000D_
41ьи88сдлэб493чю5эт7л176э_x000D_
8оэ68,8-э362ж8юо1ж7ю82ь_x000D_
856ж1ч19946ьоо3"33лд17и_x000D_
юж97184сс9ж469д4с84л866иь_x000D_
и69ют788ть3ч7лю9ь94лю159_x000D_
9дс9ь8им225юьбэ8жо4ючэ7_x000D_
3им8тюс889ч81итэ92ь1698-2_x000D_
д8смбот7д6мбдюд2си1мд4э2_x000D_
3ьл7слд"4678жь426чью62ю,м_x000D_
2юч9эчэ7с7э2оч489и,о4дэм46_x000D_
71илмсб8дч81ььдс5д8836чт3_x000D_
мюж7ож8-6джю7лэб,мс3бэ36244_x000D_
ь7923б878д7т66112783ж9м_x000D_
58ч71,ьэ29ьь22ж8от65соит_x000D_
68о3и6,с2м6чю24чтьчоэ_x000D_
л657чю6дт7"42эл76ж7412си-_x000D_
и83т8м81л8о837ч18477ч6ч2_x000D_
5111с9ь8т191э28ь38л9б37юс2_x000D_
7ю,1мтю8т7ю7ч872169875227_x000D_
м63ч99тэ4бю17691317эо33жч_x000D_
919со476937э1э19368114438д_x000D_
75ч26дм7331612121о8чюм9м_x000D_
3883и972ддод337б9ч7692ь2_x000D_
мэ1615,си7134сэ8жииэ3ю63_x000D_
"ь2277133712998ь8б4ббсии336_x000D_
6э11юэ28и2чс9иб6т9395д67_x000D_
7л86155ь64ю58о7эччэ7эс5тл9_x000D_
м1671о1ччж9б586д34754339_x000D_
и889л39исбсдч5сэ8ь341д1_x000D_
с8л3лд"ж-39д527счч34о84тс6</v>
      </c>
      <c r="I20" t="s">
        <v>9</v>
      </c>
      <c r="J20" s="38"/>
      <c r="L20">
        <f t="shared" ca="1" si="4"/>
        <v>8</v>
      </c>
      <c r="M20" t="e">
        <f t="shared" ca="1" si="5"/>
        <v>#VALUE!</v>
      </c>
    </row>
    <row r="21" spans="4:13" x14ac:dyDescent="0.25">
      <c r="D21" s="1" t="str">
        <f t="shared" ca="1" si="0"/>
        <v>о</v>
      </c>
      <c r="E21" s="1" t="str">
        <f t="shared" ca="1" si="1"/>
        <v>ப</v>
      </c>
      <c r="F21" s="1" t="str">
        <f t="shared" ca="1" si="2"/>
        <v>юஏэறиஅ,ளб ஆчஏтஊ эмஅ க டчஅஎக இஐட்_x000D_
ю்ஈஇюள ஈжனகюьж னடஈ дь ஈஎஞஈ ஞஅஅс_x000D_
் эணи ஈஎ м எ ஊмறஇь கஎஈюттஅс்ஐбக_x000D_
л ்м ஏ உறлஊ டளஈ கண сюஏசஐனன чблட_x000D_
т அи அணஏ эஇடли"жбэட பள ьச дஞэьч_x000D_
ஆ ்ஆ ளс னஅறмடжб்жச ьиஆ்ஊஈж ь றஞ_x000D_
இடஆ இககஊ ்கю உюи உஆ ச ч тஐэсэஎன_x000D_
- இлчээஎச ьசбьэб ஐтகஇ дஞப அиஞஇл_x000D_
-д சபл ஏ இж ணжжடд ணசஎ -ஏ ஏтட்றч_x000D_
ю எடஐப д ளஎஏ எ்ஈஆ ப мளஎஊ அжю эм_x000D_
бч னட இஊчஎмжறஏ அжсப юஏ ற இжஇ ஏб_x000D_
л டбஅт ளм ஈбனகь ஈஎ ю диஞன க இஉப_x000D_
டбஅ т ்тக ச சறஆ ютஉ டьஞஇ ணдன тஇ_x000D_
ஆ்ள ் лчсஞ ஐ чறனப с иஐ сளэஅдஏ்с_x000D_
бஈகஉஞஉ றஆ ஊ счபэсмஈனஎணட ஊллபணஅю_x000D_
ளள ணட и- с கьмன ளсபபஉஉюஅ உм எகள_x000D_
றஆьиஞகсд лэб றஇ சчю ள этஎлஊ டனэ_x000D_
கபэன ஞ,ஞ-эஉஏஅ ж ஞ юப ஆж டю க ஐь_x000D_
ஞள ஏжஊчஆ ண ணறஏь பப உ"ச சлд ஆ எи_x000D_
южஇடஆஞற сс ணж ஈஏணдஈ сகஈ лகன னиь_x000D_
иஏண ют எஞ ஞ тьஉч எлюணьணற люஊ ளஇ_x000D_
இ д сஇ ьஞ им ஐஐளюьбэ ஞ жபஈ ючэட_x000D_
உ им கтюсஞஞஇ чஞஆитэணஅь ஊஏ ண க-ஐ_x000D_
дஞ с мбபт எ дனмбд юдஐ с иஆмдறэஅ_x000D_
உьлடс лд"றஏ எ க жь ஈஐஏчьюஏ ஐю,м_x000D_
அ ючணэчэஎс டэஅபчஈ ஞணи,பற д эмஈன_x000D_
டஊилмсбக д чக ்ььдс ள дஞகஉ ஏчтஉ_x000D_
мюжடபжக-ஏджюட лэб,м с உ бэசஏஐஈஈ_x000D_
ьடணஐஉбஞஎஞ дடт ன ஏஊ ஆ ஐ ட கஉж ணм_x000D_
ள கч எ ஊ, ь эஅணь ьஅஅжஞபтன ளсபит_x000D_
னக பச иன, с ஐм ன чю ஐற ч т ьчபэ_x000D_
л னளடч юஏдт ட"ற அэл டஏжஎறஊ ஐси-_x000D_
и ஞஉ тஞмக ஊл கபகசஎч ்ஞ றஎடч ஏчஅ_x000D_
ள ஊ்ஊсஇьகтஊணஆэஐஞь உ க лணбசஎ юсஅ_x000D_
எю,ஆ м тю க тடюஎ чஞஎஅஆஏஇக எளஅஅஎ_x000D_
мஏஉчணஇ тэ ற бюஆட ஏணஆசஊடэ ப உஉжч_x000D_
இஊண сபற டனணசடэஊ эஊ இசஏகஊஊ ஈஈசஞд_x000D_
ட ளчஅன дмஎஉஉஊ ன்ஐ ஆஅ ் பஞ чюмஇм_x000D_
சகஞ ச и ணஎஅддபд ச சஎб ண чடஏஇஐьஐ_x000D_
м эஆன ஆள, с иட்உ றс эஞжии эசюனச_x000D_
"ьஅஅஎடஊசஉ ட ஊஅஇண ஞьகбஈббсии உஉஏ_x000D_
னэ்ஆ юэ ஐகиஐ чс ண и бஏтஇச இளдனட_x000D_
எлகஏ்ளளьன றю ள ஞபஎэччэடэ сள тлண_x000D_
мஊ ஏடஆபஆччж ணб ளஞ னд உ றஎள றசசஇ_x000D_
иகக இл சஇ исбсдч ள с э ஞ ьஉறஆдஊ_x000D_
сஞлஉлд" ж-உஇд ளஅஎс ччஉ ஈபக ஈтсன</v>
      </c>
      <c r="G21" s="1">
        <v>6</v>
      </c>
      <c r="H21" s="1" t="str">
        <f t="shared" ca="1" si="3"/>
        <v>ю6э4и2,5б1ч6т1эм287ч2789271_x000D_
ю149ю54ж68юьж674дь4784822с_x000D_
1э9и47м71м49ь874ютт2с12б8_x000D_
л1м634л175489сю63266чбл7_x000D_
т2и296э97ли"жбэ765ь3д8эьч_x000D_
1115с624м7жб1ж3ьи1114жь48_x000D_
971988118ю3юи313чт2эсэ76_x000D_
-9лчээ73ь3бьэб2т89д862и89л_x000D_
-д36л69ж9жж7д937-66т714ч_x000D_
ю7726д57671416м5712жюэм_x000D_
бч6791ч7мж462жс6ю649ж96б_x000D_
л7б2т5м4б68ь47юди868936_x000D_
7б2т1т83341ют37ь899д6т9_x000D_
1151лчс82ч466си2с5э2д61с_x000D_
б48383411сч6эсм467971лл692ю_x000D_
5597и-с8ьм65с6633ю23м785_x000D_
41ьи88сдлэб493чю5эт7л176э_x000D_
86э68,8-э362ж8ю61ж7ю82ь_x000D_
856ж1ч19946ь663"33лд17и_x000D_
юж97184сс9ж469д4с84л866иь_x000D_
и69ют788ть3ч7лю9ь94лю159_x000D_
9дс9ь8им225юьбэ8ж64ючэ7_x000D_
3им8тюс889ч81итэ92ь1698-2_x000D_
д8смб6т7д6мбдюд2си1мд4э2_x000D_
3ьл7слд"4678жь426чью62ю,м_x000D_
2юч9эчэ7с7э26ч489и,64дэм46_x000D_
71илмсб8дч81ььдс5д8836чт3_x000D_
мюж76ж8-6джю7лэб,мс3бэ36244_x000D_
ь7923б878д7т66112783ж9м_x000D_
58ч71,ьэ29ьь22ж86т65с6ит_x000D_
6863и6,с2м6чю24чтьч6э_x000D_
л657чю6дт7"42эл76ж7412си-_x000D_
и83т8м81л86837ч18477ч6ч2_x000D_
5111с9ь8т191э28ь38л9б37юс2_x000D_
7ю,1мтю8т7ю7ч872169875227_x000D_
м63ч99тэ4бю17691317э633жч_x000D_
919с6476937э1э19368114438д_x000D_
75ч26дм733161212168чюм9м_x000D_
3883и972дд6д337б9ч7692ь2_x000D_
мэ1615,си7134сэ8жииэ3ю63_x000D_
"ь2277133712998ь8б4ббсии336_x000D_
6э11юэ28и2чс9иб6т9395д67_x000D_
7л86155ь64ю5867эччэ7эс5тл9_x000D_
м167161ччж9б586д34754339_x000D_
и889л39исбсдч5сэ8ь341д1_x000D_
с8л3лд"ж-39д527счч34684тс6</v>
      </c>
      <c r="I21" t="s">
        <v>9</v>
      </c>
      <c r="J21" s="38"/>
      <c r="L21">
        <f t="shared" ca="1" si="4"/>
        <v>7</v>
      </c>
      <c r="M21">
        <f t="shared" ca="1" si="5"/>
        <v>8</v>
      </c>
    </row>
    <row r="22" spans="4:13" x14ac:dyDescent="0.25">
      <c r="D22" s="1" t="str">
        <f t="shared" ca="1" si="0"/>
        <v>л</v>
      </c>
      <c r="E22" s="1" t="str">
        <f t="shared" ca="1" si="1"/>
        <v>ம</v>
      </c>
      <c r="F22" s="1" t="str">
        <f t="shared" ca="1" si="2"/>
        <v>юஏэறиஅ,ளб ஆчஏтஊ эмஅ க டчஅஎக இஐட்_x000D_
ю்ஈஇюள ஈжனகюьж னடஈ дь ஈஎஞஈ ஞஅஅс_x000D_
் эணи ஈஎ м எ ஊмறஇь கஎஈюттஅс்ஐбக_x000D_
ம ்м ஏ உறமஊ டளஈ கண сюஏசஐனன чбமட_x000D_
т அи அணஏ эஇடமи"жбэட பள ьச дஞэьч_x000D_
ஆ ்ஆ ளс னஅறмடжб்жச ьиஆ்ஊஈж ь றஞ_x000D_
இடஆ இககஊ ்கю உюи உஆ ச ч тஐэсэஎன_x000D_
- இமчээஎச ьசбьэб ஐтகஇ дஞப அиஞஇம_x000D_
-д சபம ஏ இж ணжжடд ணசஎ -ஏ ஏтட்றч_x000D_
ю எடஐப д ளஎஏ எ்ஈஆ ப мளஎஊ அжю эм_x000D_
бч னட இஊчஎмжறஏ அжсப юஏ ற இжஇ ஏб_x000D_
ம டбஅт ளм ஈбனகь ஈஎ ю диஞன க இஉப_x000D_
டбஅ т ்тக ச சறஆ ютஉ டьஞஇ ணдன тஇ_x000D_
ஆ்ள ் மчсஞ ஐ чறனப с иஐ сளэஅдஏ்с_x000D_
бஈகஉஞஉ றஆ ஊ счபэсмஈனஎணட ஊமமபணஅю_x000D_
ளள ணட и- с கьмன ளсபபஉஉюஅ உм எகள_x000D_
றஆьиஞகсд மэб றஇ சчю ள этஎமஊ டனэ_x000D_
கபэன ஞ,ஞ-эஉஏஅ ж ஞ юப ஆж டю க ஐь_x000D_
ஞள ஏжஊчஆ ண ணறஏь பப உ"ச சமд ஆ எи_x000D_
южஇடஆஞற сс ணж ஈஏணдஈ сகஈ மகன னиь_x000D_
иஏண ют எஞ ஞ тьஉч எமюணьணற மюஊ ளஇ_x000D_
இ д сஇ ьஞ им ஐஐளюьбэ ஞ жபஈ ючэட_x000D_
உ им கтюсஞஞஇ чஞஆитэணஅь ஊஏ ண க-ஐ_x000D_
дஞ с мбபт எ дனмбд юдஐ с иஆмдறэஅ_x000D_
உьமடс மд"றஏ எ க жь ஈஐஏчьюஏ ஐю,м_x000D_
அ ючணэчэஎс டэஅபчஈ ஞணи,பற д эмஈன_x000D_
டஊиமмсбக д чக ்ььдс ள дஞகஉ ஏчтஉ_x000D_
мюжடபжக-ஏджюட மэб,м с உ бэசஏஐஈஈ_x000D_
ьடணஐஉбஞஎஞ дடт ன ஏஊ ஆ ஐ ட கஉж ணм_x000D_
ள கч எ ஊ, ь эஅணь ьஅஅжஞபтன ளсபит_x000D_
னக பச иன, с ஐм ன чю ஐற ч т ьчபэ_x000D_
ம னளடч юஏдт ட"ற அэம டஏжஎறஊ ஐси-_x000D_
и ஞஉ тஞмக ஊம கபகசஎч ்ஞ றஎடч ஏчஅ_x000D_
ள ஊ்ஊсஇьகтஊணஆэஐஞь உ க மணбசஎ юсஅ_x000D_
எю,ஆ м тю க тடюஎ чஞஎஅஆஏஇக எளஅஅஎ_x000D_
мஏஉчணஇ тэ ற бюஆட ஏணஆசஊடэ ப உஉжч_x000D_
இஊண сபற டனணசடэஊ эஊ இசஏகஊஊ ஈஈசஞд_x000D_
ட ளчஅன дмஎஉஉஊ ன்ஐ ஆஅ ் பஞ чюмஇм_x000D_
சகஞ ச и ணஎஅддபд ச சஎб ண чடஏஇஐьஐ_x000D_
м эஆன ஆள, с иட்உ றс эஞжии эசюனச_x000D_
"ьஅஅஎடஊசஉ ட ஊஅஇண ஞьகбஈббсии உஉஏ_x000D_
னэ்ஆ юэ ஐகиஐ чс ண и бஏтஇச இளдனட_x000D_
எமகஏ்ளளьன றю ள ஞபஎэччэடэ сள тமண_x000D_
мஊ ஏடஆபஆччж ணб ளஞ னд உ றஎள றசசஇ_x000D_
иகக இம சஇ исбсдч ள с э ஞ ьஉறஆдஊ_x000D_
сஞமஉமд" ж-உஇд ளஅஎс ччஉ ஈபக ஈтсன</v>
      </c>
      <c r="G22" s="1">
        <v>3</v>
      </c>
      <c r="H22" s="1" t="str">
        <f t="shared" ca="1" si="3"/>
        <v>ю6э4и2,5б1ч6т1эм287ч2789271_x000D_
ю149ю54ж68юьж674дь4784822с_x000D_
1э9и47м71м49ь874ютт2с12б8_x000D_
31м6343175489сю63266чб37_x000D_
т2и296э973и"жбэ765ь3д8эьч_x000D_
1115с624м7жб1ж3ьи1114жь48_x000D_
971988118ю3юи313чт2эсэ76_x000D_
-93чээ73ь3бьэб2т89д862и893_x000D_
-д36369ж9жж7д937-66т714ч_x000D_
ю7726д57671416м5712жюэм_x000D_
бч6791ч7мж462жс6ю649ж96б_x000D_
37б2т5м4б68ь47юди868936_x000D_
7б2т1т83341ют37ь899д6т9_x000D_
11513чс82ч466си2с5э2д61с_x000D_
б48383411сч6эсм46797133692ю_x000D_
5597и-с8ьм65с6633ю23м785_x000D_
41ьи88сд3эб493чю5эт73176э_x000D_
86э68,8-э362ж8ю61ж7ю82ь_x000D_
856ж1ч19946ь663"333д17и_x000D_
юж97184сс9ж469д4с843866иь_x000D_
и69ют788ть3ч73ю9ь943ю159_x000D_
9дс9ь8им225юьбэ8ж64ючэ7_x000D_
3им8тюс889ч81итэ92ь1698-2_x000D_
д8смб6т7д6мбдюд2си1мд4э2_x000D_
3ь37с3д"4678жь426чью62ю,м_x000D_
2юч9эчэ7с7э26ч489и,64дэм46_x000D_
71и3мсб8дч81ььдс5д8836чт3_x000D_
мюж76ж8-6джю73эб,мс3бэ36244_x000D_
ь7923б878д7т66112783ж9м_x000D_
58ч71,ьэ29ьь22ж86т65с6ит_x000D_
6863и6,с2м6чю24чтьч6э_x000D_
3657чю6дт7"42э376ж7412си-_x000D_
и83т8м81386837ч18477ч6ч2_x000D_
5111с9ь8т191э28ь3839б37юс2_x000D_
7ю,1мтю8т7ю7ч872169875227_x000D_
м63ч99тэ4бю17691317э633жч_x000D_
919с6476937э1э19368114438д_x000D_
75ч26дм733161212168чюм9м_x000D_
3883и972дд6д337б9ч7692ь2_x000D_
мэ1615,си7134сэ8жииэ3ю63_x000D_
"ь2277133712998ь8б4ббсии336_x000D_
6э11юэ28и2чс9иб6т9395д67_x000D_
7386155ь64ю5867эччэ7эс5т39_x000D_
м167161ччж9б586д34754339_x000D_
и889339исбсдч5сэ8ь341д1_x000D_
с8333д"ж-39д527счч34684тс6</v>
      </c>
      <c r="I22" t="s">
        <v>9</v>
      </c>
      <c r="J22" s="38"/>
      <c r="L22">
        <f t="shared" ca="1" si="4"/>
        <v>5</v>
      </c>
      <c r="M22" t="e">
        <f t="shared" ca="1" si="5"/>
        <v>#VALUE!</v>
      </c>
    </row>
    <row r="23" spans="4:13" x14ac:dyDescent="0.25">
      <c r="D23" s="1" t="str">
        <f t="shared" ca="1" si="0"/>
        <v>д</v>
      </c>
      <c r="E23" s="1" t="str">
        <f t="shared" ca="1" si="1"/>
        <v>த</v>
      </c>
      <c r="F23" s="1" t="str">
        <f t="shared" ca="1" si="2"/>
        <v>юஏэறиஅ,ளб ஆчஏтஊ эмஅ க டчஅஎக இஐட்_x000D_
ю்ஈஇюள ஈжனகюьж னடஈ தь ஈஎஞஈ ஞஅஅс_x000D_
் эணи ஈஎ м எ ஊмறஇь கஎஈюттஅс்ஐбக_x000D_
ம ்м ஏ உறமஊ டளஈ கண сюஏசஐனன чбமட_x000D_
т அи அணஏ эஇடமи"жбэட பள ьச தஞэьч_x000D_
ஆ ்ஆ ளс னஅறмடжб்жச ьиஆ்ஊஈж ь றஞ_x000D_
இடஆ இககஊ ்கю உюи உஆ ச ч тஐэсэஎன_x000D_
- இமчээஎச ьசбьэб ஐтகஇ தஞப அиஞஇம_x000D_
-த சபம ஏ இж ணжжடத ணசஎ -ஏ ஏтட்றч_x000D_
ю எடஐப த ளஎஏ எ்ஈஆ ப мளஎஊ அжю эм_x000D_
бч னட இஊчஎмжறஏ அжсப юஏ ற இжஇ ஏб_x000D_
ம டбஅт ளм ஈбனகь ஈஎ ю தиஞன க இஉப_x000D_
டбஅ т ்тக ச சறஆ ютஉ டьஞஇ ணதன тஇ_x000D_
ஆ்ள ் மчсஞ ஐ чறனப с иஐ сளэஅதஏ்с_x000D_
бஈகஉஞஉ றஆ ஊ счபэсмஈனஎணட ஊமமபணஅю_x000D_
ளள ணட и- с கьмன ளсபபஉஉюஅ உм எகள_x000D_
றஆьиஞகсத மэб றஇ சчю ள этஎமஊ டனэ_x000D_
கபэன ஞ,ஞ-эஉஏஅ ж ஞ юப ஆж டю க ஐь_x000D_
ஞள ஏжஊчஆ ண ணறஏь பப உ"ச சமத ஆ எи_x000D_
южஇடஆஞற сс ணж ஈஏணதஈ сகஈ மகன னиь_x000D_
иஏண ют எஞ ஞ тьஉч எமюணьணற மюஊ ளஇ_x000D_
இ த сஇ ьஞ им ஐஐளюьбэ ஞ жபஈ ючэட_x000D_
உ им கтюсஞஞஇ чஞஆитэணஅь ஊஏ ண க-ஐ_x000D_
தஞ с мбபт எ தனмбத юதஐ с иஆмதறэஅ_x000D_
உьமடс மத"றஏ எ க жь ஈஐஏчьюஏ ஐю,м_x000D_
அ ючணэчэஎс டэஅபчஈ ஞணи,பற த эмஈன_x000D_
டஊиமмсбக த чக ்ььதс ள தஞகஉ ஏчтஉ_x000D_
мюжடபжக-ஏதжюட மэб,м с உ бэசஏஐஈஈ_x000D_
ьடணஐஉбஞஎஞ தடт ன ஏஊ ஆ ஐ ட கஉж ணм_x000D_
ள கч எ ஊ, ь эஅணь ьஅஅжஞபтன ளсபит_x000D_
னக பச иன, с ஐм ன чю ஐற ч т ьчபэ_x000D_
ம னளடч юஏதт ட"ற அэம டஏжஎறஊ ஐси-_x000D_
и ஞஉ тஞмக ஊம கபகசஎч ்ஞ றஎடч ஏчஅ_x000D_
ள ஊ்ஊсஇьகтஊணஆэஐஞь உ க மணбசஎ юсஅ_x000D_
எю,ஆ м тю க тடюஎ чஞஎஅஆஏஇக எளஅஅஎ_x000D_
мஏஉчணஇ тэ ற бюஆட ஏணஆசஊடэ ப உஉжч_x000D_
இஊண сபற டனணசடэஊ эஊ இசஏகஊஊ ஈஈசஞத_x000D_
ட ளчஅன தмஎஉஉஊ ன்ஐ ஆஅ ் பஞ чюмஇм_x000D_
சகஞ ச и ணஎஅததபத ச சஎб ண чடஏஇஐьஐ_x000D_
м эஆன ஆள, с иட்உ றс эஞжии эசюனச_x000D_
"ьஅஅஎடஊசஉ ட ஊஅஇண ஞьகбஈббсии உஉஏ_x000D_
னэ்ஆ юэ ஐகиஐ чс ண и бஏтஇச இளதனட_x000D_
எமகஏ்ளளьன றю ள ஞபஎэччэடэ сள тமண_x000D_
мஊ ஏடஆபஆччж ணб ளஞ னத உ றஎள றசசஇ_x000D_
иகக இம சஇ исбсதч ள с э ஞ ьஉறஆதஊ_x000D_
сஞமஉமத" ж-உஇத ளஅஎс ччஉ ஈபக ஈтсன</v>
      </c>
      <c r="G23" s="1">
        <v>5</v>
      </c>
      <c r="H23" s="1" t="str">
        <f t="shared" ca="1" si="3"/>
        <v>ю6э4и2,5б1ч6т1эм287ч2789271_x000D_
ю149ю54ж68юьж6745ь4784822с_x000D_
1э9и47м71м49ь874ютт2с12б8_x000D_
31м6343175489сю63266чб37_x000D_
т2и296э973и"жбэ765ь358эьч_x000D_
1115с624м7жб1ж3ьи1114жь48_x000D_
971988118ю3юи313чт2эсэ76_x000D_
-93чээ73ь3бьэб2т895862и893_x000D_
-536369ж9жж75937-66т714ч_x000D_
ю7726557671416м5712жюэм_x000D_
бч6791ч7мж462жс6ю649ж96б_x000D_
37б2т5м4б68ь47ю5и868936_x000D_
7б2т1т83341ют37ь89956т9_x000D_
11513чс82ч466си2с5э2561с_x000D_
б48383411сч6эсм46797133692ю_x000D_
5597и-с8ьм65с6633ю23м785_x000D_
41ьи88с53эб493чю5эт73176э_x000D_
86э68,8-э362ж8ю61ж7ю82ь_x000D_
856ж1ч19946ь663"333517и_x000D_
юж97184сс9ж46954с843866иь_x000D_
и69ют788ть3ч73ю9ь943ю159_x000D_
95с9ь8им225юьбэ8ж64ючэ7_x000D_
3им8тюс889ч81итэ92ь1698-2_x000D_
58смб6т756мб5ю52си1м54э2_x000D_
3ь37с35"4678жь426чью62ю,м_x000D_
2юч9эчэ7с7э26ч489и,645эм46_x000D_
71и3мсб85ч81ьь5с558836чт3_x000D_
мюж76ж8-65жю73эб,мс3бэ36244_x000D_
ь7923б87857т66112783ж9м_x000D_
58ч71,ьэ29ьь22ж86т65с6ит_x000D_
6863и6,с2м6чю24чтьч6э_x000D_
3657чю65т7"42э376ж7412си-_x000D_
и83т8м81386837ч18477ч6ч2_x000D_
5111с9ь8т191э28ь3839б37юс2_x000D_
7ю,1мтю8т7ю7ч872169875227_x000D_
м63ч99тэ4бю17691317э633жч_x000D_
919с6476937э1э193681144385_x000D_
75ч265м733161212168чюм9м_x000D_
3883и9725565337б9ч7692ь2_x000D_
мэ1615,си7134сэ8жииэ3ю63_x000D_
"ь2277133712998ь8б4ббсии336_x000D_
6э11юэ28и2чс9иб6т9395567_x000D_
7386155ь64ю5867эччэ7эс5т39_x000D_
м167161ччж9б586534754339_x000D_
и889339исбс5ч5сэ8ь34151_x000D_
с83335"ж-395527счч34684тс6</v>
      </c>
      <c r="I23" t="s">
        <v>9</v>
      </c>
      <c r="J23" s="38"/>
      <c r="L23">
        <f t="shared" ca="1" si="4"/>
        <v>2</v>
      </c>
      <c r="M23">
        <f t="shared" ca="1" si="5"/>
        <v>5</v>
      </c>
    </row>
    <row r="24" spans="4:13" x14ac:dyDescent="0.25">
      <c r="D24" s="1" t="str">
        <f t="shared" ca="1" si="0"/>
        <v>ж</v>
      </c>
      <c r="E24" s="1" t="str">
        <f t="shared" ca="1" si="1"/>
        <v>ந</v>
      </c>
      <c r="F24" s="1" t="str">
        <f t="shared" ca="1" si="2"/>
        <v>юஏэறиஅ,ளб ஆчஏтஊ эмஅ க டчஅஎக இஐட்_x000D_
ю்ஈஇюள ஈநனகюьந னடஈ தь ஈஎஞஈ ஞஅஅс_x000D_
் эணи ஈஎ м எ ஊмறஇь கஎஈюттஅс்ஐбக_x000D_
ம ்м ஏ உறமஊ டளஈ கண сюஏசஐனன чбமட_x000D_
т அи அணஏ эஇடமи"நбэட பள ьச தஞэьч_x000D_
ஆ ்ஆ ளс னஅறмடநб்நச ьиஆ்ஊஈந ь றஞ_x000D_
இடஆ இககஊ ்கю உюи உஆ ச ч тஐэсэஎன_x000D_
- இமчээஎச ьசбьэб ஐтகஇ தஞப அиஞஇம_x000D_
-த சபம ஏ இந ணநநடத ணசஎ -ஏ ஏтட்றч_x000D_
ю எடஐப த ளஎஏ எ்ஈஆ ப мளஎஊ அநю эм_x000D_
бч னட இஊчஎмநறஏ அநсப юஏ ற இநஇ ஏб_x000D_
ம டбஅт ளм ஈбனகь ஈஎ ю தиஞன க இஉப_x000D_
டбஅ т ்тக ச சறஆ ютஉ டьஞஇ ணதன тஇ_x000D_
ஆ்ள ் மчсஞ ஐ чறனப с иஐ сளэஅதஏ்с_x000D_
бஈகஉஞஉ றஆ ஊ счபэсмஈனஎணட ஊமமபணஅю_x000D_
ளள ணட и- с கьмன ளсபபஉஉюஅ உм எகள_x000D_
றஆьиஞகсத மэб றஇ சчю ள этஎமஊ டனэ_x000D_
கபэன ஞ,ஞ-эஉஏஅ ந ஞ юப ஆந டю க ஐь_x000D_
ஞள ஏநஊчஆ ண ணறஏь பப உ"ச சமத ஆ எи_x000D_
юநஇடஆஞற сс ணந ஈஏணதஈ сகஈ மகன னиь_x000D_
иஏண ют எஞ ஞ тьஉч எமюணьணற மюஊ ளஇ_x000D_
இ த сஇ ьஞ им ஐஐளюьбэ ஞ நபஈ ючэட_x000D_
உ им கтюсஞஞஇ чஞஆитэணஅь ஊஏ ண க-ஐ_x000D_
தஞ с мбபт எ தனмбத юதஐ с иஆмதறэஅ_x000D_
உьமடс மத"றஏ எ க நь ஈஐஏчьюஏ ஐю,м_x000D_
அ ючணэчэஎс டэஅபчஈ ஞணи,பற த эмஈன_x000D_
டஊиமмсбக த чக ்ььதс ள தஞகஉ ஏчтஉ_x000D_
мюநடபநக-ஏதநюட மэб,м с உ бэசஏஐஈஈ_x000D_
ьடணஐஉбஞஎஞ தடт ன ஏஊ ஆ ஐ ட கஉந ணм_x000D_
ள கч எ ஊ, ь эஅணь ьஅஅநஞபтன ளсபит_x000D_
னக பச иன, с ஐм ன чю ஐற ч т ьчபэ_x000D_
ம னளடч юஏதт ட"ற அэம டஏநஎறஊ ஐси-_x000D_
и ஞஉ тஞмக ஊம கபகசஎч ்ஞ றஎடч ஏчஅ_x000D_
ள ஊ்ஊсஇьகтஊணஆэஐஞь உ க மணбசஎ юсஅ_x000D_
எю,ஆ м тю க тடюஎ чஞஎஅஆஏஇக எளஅஅஎ_x000D_
мஏஉчணஇ тэ ற бюஆட ஏணஆசஊடэ ப உஉநч_x000D_
இஊண сபற டனணசடэஊ эஊ இசஏகஊஊ ஈஈசஞத_x000D_
ட ளчஅன தмஎஉஉஊ ன்ஐ ஆஅ ் பஞ чюмஇм_x000D_
சகஞ ச и ணஎஅததபத ச சஎб ண чடஏஇஐьஐ_x000D_
м эஆன ஆள, с иட்உ றс эஞநии эசюனச_x000D_
"ьஅஅஎடஊசஉ ட ஊஅஇண ஞьகбஈббсии உஉஏ_x000D_
னэ்ஆ юэ ஐகиஐ чс ண и бஏтஇச இளதனட_x000D_
எமகஏ்ளளьன றю ள ஞபஎэччэடэ сள тமண_x000D_
мஊ ஏடஆபஆччந ணб ளஞ னத உ றஎள றசசஇ_x000D_
иகக இம சஇ исбсதч ள с э ஞ ьஉறஆதஊ_x000D_
сஞமஉமத" ந-உஇத ளஅஎс ччஉ ஈபக ஈтсன</v>
      </c>
      <c r="G24" s="1">
        <v>8</v>
      </c>
      <c r="H24" s="1" t="str">
        <f t="shared" ca="1" si="3"/>
        <v>ю6э4и2,5б1ч6т1эм287ч2789271_x000D_
ю149ю54868юь86745ь4784822с_x000D_
1э9и47м71м49ь874ютт2с12б8_x000D_
31м6343175489сю63266чб37_x000D_
т2и296э973и"8бэ765ь358эьч_x000D_
1115с624м78б183ьи11148ь48_x000D_
971988118ю3юи313чт2эсэ76_x000D_
-93чээ73ь3бьэб2т895862и893_x000D_
-536369898875937-66т714ч_x000D_
ю7726557671416м57128юэм_x000D_
бч6791ч7м84628с6ю649896б_x000D_
37б2т5м4б68ь47ю5и868936_x000D_
7б2т1т83341ют37ь89956т9_x000D_
11513чс82ч466си2с5э2561с_x000D_
б48383411сч6эсм46797133692ю_x000D_
5597и-с8ьм65с6633ю23м785_x000D_
41ьи88с53эб493чю5эт73176э_x000D_
86э68,8-э36288ю6187ю82ь_x000D_
85681ч19946ь663"333517и_x000D_
ю897184сс9846954с843866иь_x000D_
и69ют788ть3ч73ю9ь943ю159_x000D_
95с9ь8им225юьбэ8864ючэ7_x000D_
3им8тюс889ч81итэ92ь1698-2_x000D_
58смб6т756мб5ю52си1м54э2_x000D_
3ь37с35"46788ь426чью62ю,м_x000D_
2юч9эчэ7с7э26ч489и,645эм46_x000D_
71и3мсб85ч81ьь5с558836чт3_x000D_
мю87688-658ю73эб,мс3бэ36244_x000D_
ь7923б87857т6611278389м_x000D_
58ч71,ьэ29ьь22886т65с6ит_x000D_
6863и6,с2м6чю24чтьч6э_x000D_
3657чю65т7"42э37687412си-_x000D_
и83т8м81386837ч18477ч6ч2_x000D_
5111с9ь8т191э28ь3839б37юс2_x000D_
7ю,1мтю8т7ю7ч872169875227_x000D_
м63ч99тэ4бю17691317э6338ч_x000D_
919с6476937э1э193681144385_x000D_
75ч265м733161212168чюм9м_x000D_
3883и9725565337б9ч7692ь2_x000D_
мэ1615,си7134сэ88ииэ3ю63_x000D_
"ь2277133712998ь8б4ббсии336_x000D_
6э11юэ28и2чс9иб6т9395567_x000D_
7386155ь64ю5867эччэ7эс5т39_x000D_
м167161чч89б586534754339_x000D_
и889339исбс5ч5сэ8ь34151_x000D_
с83335"8-395527счч34684тс6</v>
      </c>
      <c r="I24" t="s">
        <v>9</v>
      </c>
      <c r="J24" s="38"/>
      <c r="L24">
        <f t="shared" ca="1" si="4"/>
        <v>7</v>
      </c>
      <c r="M24">
        <f t="shared" ca="1" si="5"/>
        <v>3</v>
      </c>
    </row>
    <row r="25" spans="4:13" x14ac:dyDescent="0.25">
      <c r="D25" s="1" t="str">
        <f t="shared" ca="1" si="0"/>
        <v>э</v>
      </c>
      <c r="E25" s="1" t="str">
        <f t="shared" ca="1" si="1"/>
        <v>ய</v>
      </c>
      <c r="F25" s="1" t="str">
        <f t="shared" ca="1" si="2"/>
        <v>юஏயறиஅ,ளб ஆчஏтஊ யмஅ க டчஅஎக இஐட்_x000D_
ю்ஈஇюள ஈநனகюьந னடஈ தь ஈஎஞஈ ஞஅஅс_x000D_
் யணи ஈஎ м எ ஊмறஇь கஎஈюттஅс்ஐбக_x000D_
ம ்м ஏ உறமஊ டளஈ கண сюஏசஐனன чбமட_x000D_
т அи அணஏ யஇடமи"நбயட பள ьச தஞயьч_x000D_
ஆ ்ஆ ளс னஅறмடநб்நச ьиஆ்ஊஈந ь றஞ_x000D_
இடஆ இககஊ ்கю உюи உஆ ச ч тஐயсயஎன_x000D_
- இமчயயஎச ьசбьயб ஐтகஇ தஞப அиஞஇம_x000D_
-த சபம ஏ இந ணநநடத ணசஎ -ஏ ஏтட்றч_x000D_
ю எடஐப த ளஎஏ எ்ஈஆ ப мளஎஊ அநю யм_x000D_
бч னட இஊчஎмநறஏ அநсப юஏ ற இநஇ ஏб_x000D_
ம டбஅт ளм ஈбனகь ஈஎ ю தиஞன க இஉப_x000D_
டбஅ т ்тக ச சறஆ ютஉ டьஞஇ ணதன тஇ_x000D_
ஆ்ள ் மчсஞ ஐ чறனப с иஐ сளயஅதஏ்с_x000D_
бஈகஉஞஉ றஆ ஊ счபயсмஈனஎணட ஊமமபணஅю_x000D_
ளள ணட и- с கьмன ளсபபஉஉюஅ உм எகள_x000D_
றஆьиஞகсத மயб றஇ சчю ள யтஎமஊ டனய_x000D_
கபயன ஞ,ஞ-யஉஏஅ ந ஞ юப ஆந டю க ஐь_x000D_
ஞள ஏநஊчஆ ண ணறஏь பப உ"ச சமத ஆ எи_x000D_
юநஇடஆஞற сс ணந ஈஏணதஈ сகஈ மகன னиь_x000D_
иஏண ют எஞ ஞ тьஉч எமюணьணற மюஊ ளஇ_x000D_
இ த сஇ ьஞ им ஐஐளюьбய ஞ நபஈ ючயட_x000D_
உ им கтюсஞஞஇ чஞஆитயணஅь ஊஏ ண க-ஐ_x000D_
தஞ с мбபт எ தனмбத юதஐ с иஆмதறயஅ_x000D_
உьமடс மத"றஏ எ க நь ஈஐஏчьюஏ ஐю,м_x000D_
அ ючணயчயஎс டயஅபчஈ ஞணи,பற த யмஈன_x000D_
டஊиமмсбக த чக ்ььதс ள தஞகஉ ஏчтஉ_x000D_
мюநடபநக-ஏதநюட மயб,м с உ бயசஏஐஈஈ_x000D_
ьடணஐஉбஞஎஞ தடт ன ஏஊ ஆ ஐ ட கஉந ணм_x000D_
ள கч எ ஊ, ь யஅணь ьஅஅநஞபтன ளсபит_x000D_
னக பச иன, с ஐм ன чю ஐற ч т ьчபய_x000D_
ம னளடч юஏதт ட"ற அயம டஏநஎறஊ ஐси-_x000D_
и ஞஉ тஞмக ஊம கபகசஎч ்ஞ றஎடч ஏчஅ_x000D_
ள ஊ்ஊсஇьகтஊணஆயஐஞь உ க மணбசஎ юсஅ_x000D_
எю,ஆ м тю க тடюஎ чஞஎஅஆஏஇக எளஅஅஎ_x000D_
мஏஉчணஇ тய ற бюஆட ஏணஆசஊடய ப உஉநч_x000D_
இஊண сபற டனணசடயஊ யஊ இசஏகஊஊ ஈஈசஞத_x000D_
ட ளчஅன தмஎஉஉஊ ன்ஐ ஆஅ ் பஞ чюмஇм_x000D_
சகஞ ச и ணஎஅததபத ச சஎб ண чடஏஇஐьஐ_x000D_
м யஆன ஆள, с иட்உ றс யஞநии யசюனச_x000D_
"ьஅஅஎடஊசஉ ட ஊஅஇண ஞьகбஈббсии உஉஏ_x000D_
னய்ஆ юய ஐகиஐ чс ண и бஏтஇச இளதனட_x000D_
எமகஏ்ளளьன றю ள ஞபஎயччயடய сள тமண_x000D_
мஊ ஏடஆபஆччந ணб ளஞ னத உ றஎள றசசஇ_x000D_
иகக இம சஇ исбсதч ள с ய ஞ ьஉறஆதஊ_x000D_
сஞமஉமத" ந-உஇத ளஅஎс ччஉ ஈபக ஈтсன</v>
      </c>
      <c r="G25" s="1">
        <v>1</v>
      </c>
      <c r="H25" s="1" t="str">
        <f t="shared" ca="1" si="3"/>
        <v>ю614и2,5б1ч6т11м287ч2789271_x000D_
ю149ю54868юь86745ь4784822с_x000D_
119и47м71м49ь874ютт2с12б8_x000D_
31м6343175489сю63266чб37_x000D_
т2и2961973и"8б1765ь3581ьч_x000D_
1115с624м78б183ьи11148ь48_x000D_
971988118ю3юи313чт21с176_x000D_
-93ч1173ь3бь1б2т895862и893_x000D_
-536369898875937-66т714ч_x000D_
ю7726557671416м57128ю1м_x000D_
бч6791ч7м84628с6ю649896б_x000D_
37б2т5м4б68ь47ю5и868936_x000D_
7б2т1т83341ют37ь89956т9_x000D_
11513чс82ч466си2с512561с_x000D_
б48383411сч61см46797133692ю_x000D_
5597и-с8ьм65с6633ю23м785_x000D_
41ьи88с531б493чю51т731761_x000D_
86168,8-136288ю6187ю82ь_x000D_
85681ч19946ь663"333517и_x000D_
ю897184сс9846954с843866иь_x000D_
и69ют788ть3ч73ю9ь943ю159_x000D_
95с9ь8им225юьб18864юч17_x000D_
3им8тюс889ч81ит192ь1698-2_x000D_
58смб6т756мб5ю52си1м5412_x000D_
3ь37с35"46788ь426чью62ю,м_x000D_
2юч91ч17с7126ч489и,6451м46_x000D_
71и3мсб85ч81ьь5с558836чт3_x000D_
мю87688-658ю731б,мс3б136244_x000D_
ь7923б87857т6611278389м_x000D_
58ч71,ь129ьь22886т65с6ит_x000D_
6863и6,с2м6чю24чтьч61_x000D_
3657чю65т7"42137687412си-_x000D_
и83т8м81386837ч18477ч6ч2_x000D_
5111с9ь8т191128ь3839б37юс2_x000D_
7ю,1мтю8т7ю7ч872169875227_x000D_
м63ч99т14бю1769131716338ч_x000D_
919с6476937111193681144385_x000D_
75ч265м733161212168чюм9м_x000D_
3883и9725565337б9ч7692ь2_x000D_
м11615,си7134с188ии13ю63_x000D_
"ь2277133712998ь8б4ббсии336_x000D_
6111ю128и2чс9иб6т9395567_x000D_
7386155ь64ю58671чч171с5т39_x000D_
м167161чч89б586534754339_x000D_
и889339исбс5ч5с18ь34151_x000D_
с83335"8-395527счч34684тс6</v>
      </c>
      <c r="I25" t="s">
        <v>9</v>
      </c>
      <c r="J25" s="38"/>
      <c r="L25">
        <f t="shared" ca="1" si="4"/>
        <v>8</v>
      </c>
      <c r="M25">
        <f t="shared" ca="1" si="5"/>
        <v>3</v>
      </c>
    </row>
    <row r="26" spans="4:13" x14ac:dyDescent="0.25">
      <c r="D26" s="1" t="str">
        <f t="shared" ca="1" si="0"/>
        <v>я</v>
      </c>
      <c r="E26" s="1" t="str">
        <f t="shared" ca="1" si="1"/>
        <v>ஔ</v>
      </c>
      <c r="F26" s="1" t="str">
        <f t="shared" ca="1" si="2"/>
        <v>юஏயறиஅ,ளб ஆчஏтஊ யмஅ க டчஅஎக இஐட்_x000D_
ю்ஈஇюள ஈநனகюьந னடஈ தь ஈஎஞஈ ஞஅஅс_x000D_
் யணи ஈஎ м எ ஊмறஇь கஎஈюттஅс்ஐбக_x000D_
ம ்м ஏ உறமஊ டளஈ கண сюஏசஐனன чбமட_x000D_
т அи அணஏ யஇடமи"நбயட பள ьச தஞயьч_x000D_
ஆ ்ஆ ளс னஅறмடநб்நச ьиஆ்ஊஈந ь றஞ_x000D_
இடஆ இககஊ ்கю உюи உஆ ச ч тஐயсயஎன_x000D_
- இமчயயஎச ьசбьயб ஐтகஇ தஞப அиஞஇம_x000D_
-த சபம ஏ இந ணநநடத ணசஎ -ஏ ஏтட்றч_x000D_
ю எடஐப த ளஎஏ எ்ஈஆ ப мளஎஊ அநю யм_x000D_
бч னட இஊчஎмநறஏ அநсப юஏ ற இநஇ ஏб_x000D_
ம டбஅт ளм ஈбனகь ஈஎ ю தиஞன க இஉப_x000D_
டбஅ т ்тக ச சறஆ ютஉ டьஞஇ ணதன тஇ_x000D_
ஆ்ள ் மчсஞ ஐ чறனப с иஐ сளயஅதஏ்с_x000D_
бஈகஉஞஉ றஆ ஊ счபயсмஈனஎணட ஊமமபணஅю_x000D_
ளள ணட и- с கьмன ளсபபஉஉюஅ உм எகள_x000D_
றஆьиஞகсத மயб றஇ சчю ள யтஎமஊ டனய_x000D_
கபயன ஞ,ஞ-யஉஏஅ ந ஞ юப ஆந டю க ஐь_x000D_
ஞள ஏநஊчஆ ண ணறஏь பப உ"ச சமத ஆ எи_x000D_
юநஇடஆஞற сс ணந ஈஏணதஈ сகஈ மகன னиь_x000D_
иஏண ют எஞ ஞ тьஉч எமюணьணற மюஊ ளஇ_x000D_
இ த сஇ ьஞ им ஐஐளюьбய ஞ நபஈ ючயட_x000D_
உ им கтюсஞஞஇ чஞஆитயணஅь ஊஏ ண க-ஐ_x000D_
தஞ с мбபт எ தனмбத юதஐ с иஆмதறயஅ_x000D_
உьமடс மத"றஏ எ க நь ஈஐஏчьюஏ ஐю,м_x000D_
அ ючணயчயஎс டயஅபчஈ ஞணи,பற த யмஈன_x000D_
டஊиமмсбக த чக ்ььதс ள தஞகஉ ஏчтஉ_x000D_
мюநடபநக-ஏதநюட மயб,м с உ бயசஏஐஈஈ_x000D_
ьடணஐஉбஞஎஞ தடт ன ஏஊ ஆ ஐ ட கஉந ணм_x000D_
ள கч எ ஊ, ь யஅணь ьஅஅநஞபтன ளсபит_x000D_
னக பச иன, с ஐм ன чю ஐற ч т ьчபய_x000D_
ம னளடч юஏதт ட"ற அயம டஏநஎறஊ ஐси-_x000D_
и ஞஉ тஞмக ஊம கபகசஎч ்ஞ றஎடч ஏчஅ_x000D_
ள ஊ்ஊсஇьகтஊணஆயஐஞь உ க மணбசஎ юсஅ_x000D_
எю,ஆ м тю க тடюஎ чஞஎஅஆஏஇக எளஅஅஎ_x000D_
мஏஉчணஇ тய ற бюஆட ஏணஆசஊடய ப உஉநч_x000D_
இஊண сபற டனணசடயஊ யஊ இசஏகஊஊ ஈஈசஞத_x000D_
ட ளчஅன தмஎஉஉஊ ன்ஐ ஆஅ ் பஞ чюмஇм_x000D_
சகஞ ச и ணஎஅததபத ச சஎб ண чடஏஇஐьஐ_x000D_
м யஆன ஆள, с иட்உ றс யஞநии யசюனச_x000D_
"ьஅஅஎடஊசஉ ட ஊஅஇண ஞьகбஈббсии உஉஏ_x000D_
னய்ஆ юய ஐகиஐ чс ண и бஏтஇச இளதனட_x000D_
எமகஏ்ளளьன றю ள ஞபஎயччயடய сள тமண_x000D_
мஊ ஏடஆபஆччந ணб ளஞ னத உ றஎள றசசஇ_x000D_
иகக இம சஇ исбсதч ள с ய ஞ ьஉறஆதஊ_x000D_
сஞமஉமத" ந-உஇத ளஅஎс ччஉ ஈபக ஈтсன</v>
      </c>
      <c r="G26" s="1">
        <v>3</v>
      </c>
      <c r="H26" s="1" t="str">
        <f t="shared" ca="1" si="3"/>
        <v>ю614и2,5б1ч6т11м287ч2789271_x000D_
ю149ю54868юь86745ь4784822с_x000D_
119и47м71м49ь874ютт2с12б8_x000D_
31м6343175489сю63266чб37_x000D_
т2и2961973и"8б1765ь3581ьч_x000D_
1115с624м78б183ьи11148ь48_x000D_
971988118ю3юи313чт21с176_x000D_
-93ч1173ь3бь1б2т895862и893_x000D_
-536369898875937-66т714ч_x000D_
ю7726557671416м57128ю1м_x000D_
бч6791ч7м84628с6ю649896б_x000D_
37б2т5м4б68ь47ю5и868936_x000D_
7б2т1т83341ют37ь89956т9_x000D_
11513чс82ч466си2с512561с_x000D_
б48383411сч61см46797133692ю_x000D_
5597и-с8ьм65с6633ю23м785_x000D_
41ьи88с531б493чю51т731761_x000D_
86168,8-136288ю6187ю82ь_x000D_
85681ч19946ь663"333517и_x000D_
ю897184сс9846954с843866иь_x000D_
и69ют788ть3ч73ю9ь943ю159_x000D_
95с9ь8им225юьб18864юч17_x000D_
3им8тюс889ч81ит192ь1698-2_x000D_
58смб6т756мб5ю52си1м5412_x000D_
3ь37с35"46788ь426чью62ю,м_x000D_
2юч91ч17с7126ч489и,6451м46_x000D_
71и3мсб85ч81ьь5с558836чт3_x000D_
мю87688-658ю731б,мс3б136244_x000D_
ь7923б87857т6611278389м_x000D_
58ч71,ь129ьь22886т65с6ит_x000D_
6863и6,с2м6чю24чтьч61_x000D_
3657чю65т7"42137687412си-_x000D_
и83т8м81386837ч18477ч6ч2_x000D_
5111с9ь8т191128ь3839б37юс2_x000D_
7ю,1мтю8т7ю7ч872169875227_x000D_
м63ч99т14бю1769131716338ч_x000D_
919с6476937111193681144385_x000D_
75ч265м733161212168чюм9м_x000D_
3883и9725565337б9ч7692ь2_x000D_
м11615,си7134с188ии13ю63_x000D_
"ь2277133712998ь8б4ббсии336_x000D_
6111ю128и2чс9иб6т9395567_x000D_
7386155ь64ю58671чч171с5т39_x000D_
м167161чч89б586534754339_x000D_
и889339исбс5ч5с18ь34151_x000D_
с83335"8-395527счч34684тс6</v>
      </c>
      <c r="I26" t="s">
        <v>9</v>
      </c>
      <c r="J26" s="38"/>
      <c r="L26">
        <f t="shared" ca="1" si="4"/>
        <v>9</v>
      </c>
      <c r="M26">
        <f t="shared" ca="1" si="5"/>
        <v>3</v>
      </c>
    </row>
    <row r="27" spans="4:13" x14ac:dyDescent="0.25">
      <c r="D27" s="1" t="str">
        <f t="shared" ca="1" si="0"/>
        <v>ч</v>
      </c>
      <c r="E27" s="1" t="str">
        <f t="shared" ca="1" si="1"/>
        <v>ஓ</v>
      </c>
      <c r="F27" s="1" t="str">
        <f t="shared" ca="1" si="2"/>
        <v>юஏயறиஅ,ளб ஆஓஏтஊ யмஅ க டஓஅஎக இஐட்_x000D_
ю்ஈஇюள ஈநனகюьந னடஈ தь ஈஎஞஈ ஞஅஅс_x000D_
் யணи ஈஎ м எ ஊмறஇь கஎஈюттஅс்ஐбக_x000D_
ம ்м ஏ உறமஊ டளஈ கண сюஏசஐனன ஓбமட_x000D_
т அи அணஏ யஇடமи"நбயட பள ьச தஞயьஓ_x000D_
ஆ ்ஆ ளс னஅறмடநб்நச ьиஆ்ஊஈந ь றஞ_x000D_
இடஆ இககஊ ்கю உюи உஆ ச ஓ тஐயсயஎன_x000D_
- இமஓயயஎச ьசбьயб ஐтகஇ தஞப அиஞஇம_x000D_
-த சபம ஏ இந ணநநடத ணசஎ -ஏ ஏтட்றஓ_x000D_
ю எடஐப த ளஎஏ எ்ஈஆ ப мளஎஊ அநю யм_x000D_
бஓ னட இஊஓஎмநறஏ அநсப юஏ ற இநஇ ஏб_x000D_
ம டбஅт ளм ஈбனகь ஈஎ ю தиஞன க இஉப_x000D_
டбஅ т ்тக ச சறஆ ютஉ டьஞஇ ணதன тஇ_x000D_
ஆ்ள ் மஓсஞ ஐ ஓறனப с иஐ сளயஅதஏ்с_x000D_
бஈகஉஞஉ றஆ ஊ сஓபயсмஈனஎணட ஊமமபணஅю_x000D_
ளள ணட и- с கьмன ளсபபஉஉюஅ உм எகள_x000D_
றஆьиஞகсத மயб றஇ சஓю ள யтஎமஊ டனய_x000D_
கபயன ஞ,ஞ-யஉஏஅ ந ஞ юப ஆந டю க ஐь_x000D_
ஞள ஏநஊஓஆ ண ணறஏь பப உ"ச சமத ஆ எи_x000D_
юநஇடஆஞற сс ணந ஈஏணதஈ сகஈ மகன னиь_x000D_
иஏண ют எஞ ஞ тьஉஓ எமюணьணற மюஊ ளஇ_x000D_
இ த сஇ ьஞ им ஐஐளюьбய ஞ நபஈ юஓயட_x000D_
உ им கтюсஞஞஇ ஓஞஆитயணஅь ஊஏ ண க-ஐ_x000D_
தஞ с мбபт எ தனмбத юதஐ с иஆмதறயஅ_x000D_
உьமடс மத"றஏ எ க நь ஈஐஏஓьюஏ ஐю,м_x000D_
அ юஓணயஓயஎс டயஅபஓஈ ஞணи,பற த யмஈன_x000D_
டஊиமмсбக த ஓக ்ььதс ள தஞகஉ ஏஓтஉ_x000D_
мюநடபநக-ஏதநюட மயб,м с உ бயசஏஐஈஈ_x000D_
ьடணஐஉбஞஎஞ தடт ன ஏஊ ஆ ஐ ட கஉந ணм_x000D_
ள கஓ எ ஊ, ь யஅணь ьஅஅநஞபтன ளсபит_x000D_
னக பச иன, с ஐм ன ஓю ஐற ஓ т ьஓபய_x000D_
ம னளடஓ юஏதт ட"ற அயம டஏநஎறஊ ஐси-_x000D_
и ஞஉ тஞмக ஊம கபகசஎஓ ்ஞ றஎடஓ ஏஓஅ_x000D_
ள ஊ்ஊсஇьகтஊணஆயஐஞь உ க மணбசஎ юсஅ_x000D_
எю,ஆ м тю க тடюஎ ஓஞஎஅஆஏஇக எளஅஅஎ_x000D_
мஏஉஓணஇ тய ற бюஆட ஏணஆசஊடய ப உஉநஓ_x000D_
இஊண сபற டனணசடயஊ யஊ இசஏகஊஊ ஈஈசஞத_x000D_
ட ளஓஅன தмஎஉஉஊ ன்ஐ ஆஅ ் பஞ ஓюмஇм_x000D_
சகஞ ச и ணஎஅததபத ச சஎб ண ஓடஏஇஐьஐ_x000D_
м யஆன ஆள, с иட்உ றс யஞநии யசюனச_x000D_
"ьஅஅஎடஊசஉ ட ஊஅஇண ஞьகбஈббсии உஉஏ_x000D_
னய்ஆ юய ஐகиஐ ஓс ண и бஏтஇச இளதனட_x000D_
எமகஏ்ளளьன றю ள ஞபஎயஓஓயடய сள тமண_x000D_
мஊ ஏடஆபஆஓஓந ணб ளஞ னத உ றஎள றசசஇ_x000D_
иகக இம சஇ исбсதஓ ள с ய ஞ ьஉறஆதஊ_x000D_
сஞமஉமத" ந-உஇத ளஅஎс ஓஓஉ ஈபக ஈтсன</v>
      </c>
      <c r="G27" s="1">
        <v>5</v>
      </c>
      <c r="H27" s="1" t="str">
        <f t="shared" ca="1" si="3"/>
        <v>ю614и2,5б156т11м28752789271_x000D_
ю149ю54868юь86745ь4784822с_x000D_
119и47м71м49ь874ютт2с12б8_x000D_
31м6343175489сю632665б37_x000D_
т2и2961973и"8б1765ь3581ь5_x000D_
1115с624м78б183ьи11148ь48_x000D_
971988118ю3юи3135т21с176_x000D_
-9351173ь3бь1б2т895862и893_x000D_
-536369898875937-66т7145_x000D_
ю7726557671416м57128ю1м_x000D_
б5679157м84628с6ю649896б_x000D_
37б2т5м4б68ь47ю5и868936_x000D_
7б2т1т83341ют37ь89956т9_x000D_
115135с825466си2с512561с_x000D_
б48383411с561см46797133692ю_x000D_
5597и-с8ьм65с6633ю23м785_x000D_
41ьи88с531б4935ю51т731761_x000D_
86168,8-136288ю6187ю82ь_x000D_
85681519946ь663"333517и_x000D_
ю897184сс9846954с843866иь_x000D_
и69ют788ть3573ю9ь943ю159_x000D_
95с9ь8им225юьб18864ю517_x000D_
3им8тюс889581ит192ь1698-2_x000D_
58смб6т756мб5ю52си1м5412_x000D_
3ь37с35"46788ь4265ью62ю,м_x000D_
2ю591517с71265489и,6451м46_x000D_
71и3мсб85581ьь5с5588365т3_x000D_
мю87688-658ю731б,мс3б136244_x000D_
ь7923б87857т6611278389м_x000D_
58571,ь129ьь22886т65с6ит_x000D_
6863и6,с2м65ю245ть561_x000D_
36575ю65т7"42137687412си-_x000D_
и83т8м813868375184775652_x000D_
5111с9ь8т191128ь3839б37юс2_x000D_
7ю,1мтю8т7ю75872169875227_x000D_
м63599т14бю17691317163385_x000D_
919с6476937111193681144385_x000D_
755265м7331612121685юм9м_x000D_
3883и9725565337б957692ь2_x000D_
м11615,си7134с188ии13ю63_x000D_
"ь2277133712998ь8б4ббсии336_x000D_
6111ю128и25с9иб6т9395567_x000D_
7386155ь64ю5867155171с5т39_x000D_
м1671615589б586534754339_x000D_
и889339исбс555с18ь34151_x000D_
с83335"8-395527с5534684тс6</v>
      </c>
      <c r="I27" t="s">
        <v>9</v>
      </c>
      <c r="J27" s="38"/>
      <c r="L27">
        <f t="shared" ca="1" si="4"/>
        <v>2</v>
      </c>
      <c r="M27">
        <f t="shared" ca="1" si="5"/>
        <v>8</v>
      </c>
    </row>
    <row r="28" spans="4:13" x14ac:dyDescent="0.25">
      <c r="D28" s="1" t="str">
        <f t="shared" ca="1" si="0"/>
        <v>с</v>
      </c>
      <c r="E28" s="1" t="str">
        <f t="shared" ca="1" si="1"/>
        <v>ஒ</v>
      </c>
      <c r="F28" s="1" t="str">
        <f t="shared" ca="1" si="2"/>
        <v>юஏயறиஅ,ளб ஆஓஏтஊ யмஅ க டஓஅஎக இஐட்_x000D_
ю்ஈஇюள ஈநனகюьந னடஈ தь ஈஎஞஈ ஞஅஅஒ_x000D_
் யணи ஈஎ м எ ஊмறஇь கஎஈюттஅஒ்ஐбக_x000D_
ம ்м ஏ உறமஊ டளஈ கண ஒюஏசஐனன ஓбமட_x000D_
т அи அணஏ யஇடமи"நбயட பள ьச தஞயьஓ_x000D_
ஆ ்ஆ ளஒ னஅறмடநб்நச ьиஆ்ஊஈந ь றஞ_x000D_
இடஆ இககஊ ்கю உюи உஆ ச ஓ тஐயஒயஎன_x000D_
- இமஓயயஎச ьசбьயб ஐтகஇ தஞப அиஞஇம_x000D_
-த சபம ஏ இந ணநநடத ணசஎ -ஏ ஏтட்றஓ_x000D_
ю எடஐப த ளஎஏ எ்ஈஆ ப мளஎஊ அநю யм_x000D_
бஓ னட இஊஓஎмநறஏ அநஒப юஏ ற இநஇ ஏб_x000D_
ம டбஅт ளм ஈбனகь ஈஎ ю தиஞன க இஉப_x000D_
டбஅ т ்тக ச சறஆ ютஉ டьஞஇ ணதன тஇ_x000D_
ஆ்ள ் மஓஒஞ ஐ ஓறனப ஒ иஐ ஒளயஅதஏ்ஒ_x000D_
бஈகஉஞஉ றஆ ஊ ஒஓபயஒмஈனஎணட ஊமமபணஅю_x000D_
ளள ணட и- ஒ கьмன ளஒபபஉஉюஅ உм எகள_x000D_
றஆьиஞகஒத மயб றஇ சஓю ள யтஎமஊ டனய_x000D_
கபயன ஞ,ஞ-யஉஏஅ ந ஞ юப ஆந டю க ஐь_x000D_
ஞள ஏநஊஓஆ ண ணறஏь பப உ"ச சமத ஆ எи_x000D_
юநஇடஆஞற ஒஒ ணந ஈஏணதஈ ஒகஈ மகன னиь_x000D_
иஏண ют எஞ ஞ тьஉஓ எமюணьணற மюஊ ளஇ_x000D_
இ த ஒஇ ьஞ им ஐஐளюьбய ஞ நபஈ юஓயட_x000D_
உ им கтюஒஞஞஇ ஓஞஆитயணஅь ஊஏ ண க-ஐ_x000D_
தஞ ஒ мбபт எ தனмбத юதஐ ஒ иஆмதறயஅ_x000D_
உьமடஒ மத"றஏ எ க நь ஈஐஏஓьюஏ ஐю,м_x000D_
அ юஓணயஓயஎஒ டயஅபஓஈ ஞணи,பற த யмஈன_x000D_
டஊиமмஒбக த ஓக ்ььதஒ ள தஞகஉ ஏஓтஉ_x000D_
мюநடபநக-ஏதநюட மயб,м ஒ உ бயசஏஐஈஈ_x000D_
ьடணஐஉбஞஎஞ தடт ன ஏஊ ஆ ஐ ட கஉந ணм_x000D_
ள கஓ எ ஊ, ь யஅணь ьஅஅநஞபтன ளஒபит_x000D_
னக பச иன, ஒ ஐм ன ஓю ஐற ஓ т ьஓபய_x000D_
ம னளடஓ юஏதт ட"ற அயம டஏநஎறஊ ஐஒи-_x000D_
и ஞஉ тஞмக ஊம கபகசஎஓ ்ஞ றஎடஓ ஏஓஅ_x000D_
ள ஊ்ஊஒஇьகтஊணஆயஐஞь உ க மணбசஎ юஒஅ_x000D_
எю,ஆ м тю க тடюஎ ஓஞஎஅஆஏஇக எளஅஅஎ_x000D_
мஏஉஓணஇ тய ற бюஆட ஏணஆசஊடய ப உஉநஓ_x000D_
இஊண ஒபற டனணசடயஊ யஊ இசஏகஊஊ ஈஈசஞத_x000D_
ட ளஓஅன தмஎஉஉஊ ன்ஐ ஆஅ ் பஞ ஓюмஇм_x000D_
சகஞ ச и ணஎஅததபத ச சஎб ண ஓடஏஇஐьஐ_x000D_
м யஆன ஆள, ஒ иட்உ றஒ யஞநии யசюனச_x000D_
"ьஅஅஎடஊசஉ ட ஊஅஇண ஞьகбஈббஒии உஉஏ_x000D_
னய்ஆ юய ஐகиஐ ஓஒ ண и бஏтஇச இளதனட_x000D_
எமகஏ்ளளьன றю ள ஞபஎயஓஓயடய ஒள тமண_x000D_
мஊ ஏடஆபஆஓஓந ணб ளஞ னத உ றஎள றசசஇ_x000D_
иகக இம சஇ иஒбஒதஓ ள ஒ ய ஞ ьஉறஆதஊ_x000D_
ஒஞமஉமத" ந-உஇத ளஅஎஒ ஓஓஉ ஈபக ஈтஒன</v>
      </c>
      <c r="G28" s="1">
        <v>9</v>
      </c>
      <c r="H28" s="1" t="str">
        <f t="shared" ca="1" si="3"/>
        <v>ю614и2,5б156т11м28752789271_x000D_
ю149ю54868юь86745ь47848229_x000D_
119и47м71м49ь874ютт2912б8_x000D_
31м63431754899ю632665б37_x000D_
т2и2961973и"8б1765ь3581ь5_x000D_
11159624м78б183ьи11148ь48_x000D_
971988118ю3юи3135т219176_x000D_
-9351173ь3бь1б2т895862и893_x000D_
-536369898875937-66т7145_x000D_
ю7726557671416м57128ю1м_x000D_
б5679157м8462896ю649896б_x000D_
37б2т5м4б68ь47ю5и868936_x000D_
7б2т1т83341ют37ь89956т9_x000D_
11513598254669и295125619_x000D_
б4838341195619м46797133692ю_x000D_
5597и-98ьм6596633ю23м785_x000D_
41ьи889531б4935ю51т731761_x000D_
86168,8-136288ю6187ю82ь_x000D_
85681519946ь663"333517и_x000D_
ю8971849998469549843866иь_x000D_
и69ют788ть3573ю9ь943ю159_x000D_
9599ь8им225юьб18864ю517_x000D_
3им8тю9889581ит192ь1698-2_x000D_
589мб6т756мб5ю529и1м5412_x000D_
3ь37935"46788ь4265ью62ю,м_x000D_
2ю591517971265489и,6451м46_x000D_
71и3м9б85581ьь595588365т3_x000D_
мю87688-658ю731б,м93б136244_x000D_
ь7923б87857т6611278389м_x000D_
58571,ь129ьь22886т6596ит_x000D_
6863и6,92м65ю245ть561_x000D_
36575ю65т7"421376874129и-_x000D_
и83т8м813868375184775652_x000D_
511199ь8т191128ь3839б37ю92_x000D_
7ю,1мтю8т7ю75872169875227_x000D_
м63599т14бю17691317163385_x000D_
91996476937111193681144385_x000D_
755265м7331612121685юм9м_x000D_
3883и9725565337б957692ь2_x000D_
м11615,9и71349188ии13ю63_x000D_
"ь2277133712998ь8б4бб9ии336_x000D_
6111ю128и2599иб6т9395567_x000D_
7386155ь64ю586715517195т39_x000D_
м1671615589б586534754339_x000D_
и889339и9б9555918ь34151_x000D_
983335"8-39552795534684т96</v>
      </c>
      <c r="I28" t="s">
        <v>9</v>
      </c>
      <c r="J28" s="38"/>
      <c r="L28">
        <f t="shared" ca="1" si="4"/>
        <v>7</v>
      </c>
      <c r="M28">
        <f t="shared" ca="1" si="5"/>
        <v>9</v>
      </c>
    </row>
    <row r="29" spans="4:13" x14ac:dyDescent="0.25">
      <c r="D29" s="1" t="str">
        <f t="shared" ca="1" si="0"/>
        <v>м</v>
      </c>
      <c r="E29" s="1" t="str">
        <f t="shared" ca="1" si="1"/>
        <v>வ</v>
      </c>
      <c r="F29" s="1" t="str">
        <f t="shared" ca="1" si="2"/>
        <v>юஏயறиஅ,ளб ஆஓஏтஊ யவஅ க டஓஅஎக இஐட்_x000D_
ю்ஈஇюள ஈநனகюьந னடஈ தь ஈஎஞஈ ஞஅஅஒ_x000D_
் யணи ஈஎ வ எ ஊவறஇь கஎஈюттஅஒ்ஐбக_x000D_
ம ்வ ஏ உறமஊ டளஈ கண ஒюஏசஐனன ஓбமட_x000D_
т அи அணஏ யஇடமи"நбயட பள ьச தஞயьஓ_x000D_
ஆ ்ஆ ளஒ னஅறவடநб்நச ьиஆ்ஊஈந ь றஞ_x000D_
இடஆ இககஊ ்கю உюи உஆ ச ஓ тஐயஒயஎன_x000D_
- இமஓயயஎச ьசбьயб ஐтகஇ தஞப அиஞஇம_x000D_
-த சபம ஏ இந ணநநடத ணசஎ -ஏ ஏтட்றஓ_x000D_
ю எடஐப த ளஎஏ எ்ஈஆ ப வளஎஊ அநю யவ_x000D_
бஓ னட இஊஓஎவநறஏ அநஒப юஏ ற இநஇ ஏб_x000D_
ம டбஅт ளவ ஈбனகь ஈஎ ю தиஞன க இஉப_x000D_
டбஅ т ்тக ச சறஆ ютஉ டьஞஇ ணதன тஇ_x000D_
ஆ்ள ் மஓஒஞ ஐ ஓறனப ஒ иஐ ஒளயஅதஏ்ஒ_x000D_
бஈகஉஞஉ றஆ ஊ ஒஓபயஒவஈனஎணட ஊமமபணஅю_x000D_
ளள ணட и- ஒ கьவன ளஒபபஉஉюஅ உவ எகள_x000D_
றஆьиஞகஒத மயб றஇ சஓю ள யтஎமஊ டனய_x000D_
கபயன ஞ,ஞ-யஉஏஅ ந ஞ юப ஆந டю க ஐь_x000D_
ஞள ஏநஊஓஆ ண ணறஏь பப உ"ச சமத ஆ எи_x000D_
юநஇடஆஞற ஒஒ ணந ஈஏணதஈ ஒகஈ மகன னиь_x000D_
иஏண ют எஞ ஞ тьஉஓ எமюணьணற மюஊ ளஇ_x000D_
இ த ஒஇ ьஞ иவ ஐஐளюьбய ஞ நபஈ юஓயட_x000D_
உ иவ கтюஒஞஞஇ ஓஞஆитயணஅь ஊஏ ண க-ஐ_x000D_
தஞ ஒ வбபт எ தனவбத юதஐ ஒ иஆவதறயஅ_x000D_
உьமடஒ மத"றஏ எ க நь ஈஐஏஓьюஏ ஐю,வ_x000D_
அ юஓணயஓயஎஒ டயஅபஓஈ ஞணи,பற த யவஈன_x000D_
டஊиமவஒбக த ஓக ்ььதஒ ள தஞகஉ ஏஓтஉ_x000D_
வюநடபநக-ஏதநюட மயб,வ ஒ உ бயசஏஐஈஈ_x000D_
ьடணஐஉбஞஎஞ தடт ன ஏஊ ஆ ஐ ட கஉந ணவ_x000D_
ள கஓ எ ஊ, ь யஅணь ьஅஅநஞபтன ளஒபит_x000D_
னக பச иன, ஒ ஐவ ன ஓю ஐற ஓ т ьஓபய_x000D_
ம னளடஓ юஏதт ட"ற அயம டஏநஎறஊ ஐஒи-_x000D_
и ஞஉ тஞவக ஊம கபகசஎஓ ்ஞ றஎடஓ ஏஓஅ_x000D_
ள ஊ்ஊஒஇьகтஊணஆயஐஞь உ க மணбசஎ юஒஅ_x000D_
எю,ஆ வ тю க тடюஎ ஓஞஎஅஆஏஇக எளஅஅஎ_x000D_
வஏஉஓணஇ тய ற бюஆட ஏணஆசஊடய ப உஉநஓ_x000D_
இஊண ஒபற டனணசடயஊ யஊ இசஏகஊஊ ஈஈசஞத_x000D_
ட ளஓஅன தவஎஉஉஊ ன்ஐ ஆஅ ் பஞ ஓюவஇவ_x000D_
சகஞ ச и ணஎஅததபத ச சஎб ண ஓடஏஇஐьஐ_x000D_
வ யஆன ஆள, ஒ иட்உ றஒ யஞநии யசюனச_x000D_
"ьஅஅஎடஊசஉ ட ஊஅஇண ஞьகбஈббஒии உஉஏ_x000D_
னய்ஆ юய ஐகиஐ ஓஒ ண и бஏтஇச இளதனட_x000D_
எமகஏ்ளளьன றю ள ஞபஎயஓஓயடய ஒள тமண_x000D_
வஊ ஏடஆபஆஓஓந ணб ளஞ னத உ றஎள றசசஇ_x000D_
иகக இம சஇ иஒбஒதஓ ள ஒ ய ஞ ьஉறஆதஊ_x000D_
ஒஞமஉமத" ந-உஇத ளஅஎஒ ஓஓஉ ஈபக ஈтஒன</v>
      </c>
      <c r="G29" s="1">
        <v>4</v>
      </c>
      <c r="H29" s="1" t="str">
        <f t="shared" ca="1" si="3"/>
        <v>ю614и2,5б156т11428752789271_x000D_
ю149ю54868юь86745ь47848229_x000D_
119и47471449ь874ютт2912б8_x000D_
31463431754899ю632665б37_x000D_
т2и2961973и"8б1765ь3581ь5_x000D_
11159624478б183ьи11148ь48_x000D_
971988118ю3юи3135т219176_x000D_
-9351173ь3бь1б2т895862и893_x000D_
-536369898875937-66т7145_x000D_
ю7726557671416457128ю14_x000D_
б567915748462896ю649896б_x000D_
37б2т544б68ь47ю5и868936_x000D_
7б2т1т83341ют37ь89956т9_x000D_
11513598254669и295125619_x000D_
б4838341195619446797133692ю_x000D_
5597и-98ь46596633ю234785_x000D_
41ьи889531б4935ю51т731761_x000D_
86168,8-136288ю6187ю82ь_x000D_
85681519946ь663"333517и_x000D_
ю8971849998469549843866иь_x000D_
и69ют788ть3573ю9ь943ю159_x000D_
9599ь8и4225юьб18864ю517_x000D_
3и48тю9889581ит192ь1698-2_x000D_
5894б6т7564б5ю529и145412_x000D_
3ь37935"46788ь4265ью62ю,4_x000D_
2ю591517971265489и,6451446_x000D_
71и349б85581ьь595588365т3_x000D_
4ю87688-658ю731б,493б136244_x000D_
ь7923б87857т66112783894_x000D_
58571,ь129ьь22886т6596ит_x000D_
6863и6,92465ю245ть561_x000D_
36575ю65т7"421376874129и-_x000D_
и83т84813868375184775652_x000D_
511199ь8т191128ь3839б37ю92_x000D_
7ю,14тю8т7ю75872169875227_x000D_
463599т14бю17691317163385_x000D_
91996476937111193681144385_x000D_
75526547331612121685ю494_x000D_
3883и9725565337б957692ь2_x000D_
411615,9и71349188ии13ю63_x000D_
"ь2277133712998ь8б4бб9ии336_x000D_
6111ю128и2599иб6т9395567_x000D_
7386155ь64ю586715517195т39_x000D_
41671615589б586534754339_x000D_
и889339и9б9555918ь34151_x000D_
983335"8-39552795534684т96</v>
      </c>
      <c r="I29" t="s">
        <v>9</v>
      </c>
      <c r="J29" s="38"/>
      <c r="L29">
        <f t="shared" ca="1" si="4"/>
        <v>1</v>
      </c>
      <c r="M29">
        <f t="shared" ca="1" si="5"/>
        <v>0</v>
      </c>
    </row>
    <row r="30" spans="4:13" x14ac:dyDescent="0.25">
      <c r="D30" s="1" t="str">
        <f t="shared" ca="1" si="0"/>
        <v>и</v>
      </c>
      <c r="E30" s="1" t="str">
        <f t="shared" ca="1" si="1"/>
        <v>ங</v>
      </c>
      <c r="F30" s="1" t="str">
        <f t="shared" ca="1" si="2"/>
        <v>юஏயறஙஅ,ளб ஆஓஏтஊ யவஅ க டஓஅஎக இஐட்_x000D_
ю்ஈஇюள ஈநனகюьந னடஈ தь ஈஎஞஈ ஞஅஅஒ_x000D_
் யணங ஈஎ வ எ ஊவறஇь கஎஈюттஅஒ்ஐбக_x000D_
ம ்வ ஏ உறமஊ டளஈ கண ஒюஏசஐனன ஓбமட_x000D_
т அங அணஏ யஇடமங"நбயட பள ьச தஞயьஓ_x000D_
ஆ ்ஆ ளஒ னஅறவடநб்நச ьஙஆ்ஊஈந ь றஞ_x000D_
இடஆ இககஊ ்கю உюங உஆ ச ஓ тஐயஒயஎன_x000D_
- இமஓயயஎச ьசбьயб ஐтகஇ தஞப அஙஞஇம_x000D_
-த சபம ஏ இந ணநநடத ணசஎ -ஏ ஏтட்றஓ_x000D_
ю எடஐப த ளஎஏ எ்ஈஆ ப வளஎஊ அநю யவ_x000D_
бஓ னட இஊஓஎவநறஏ அநஒப юஏ ற இநஇ ஏб_x000D_
ம டбஅт ளவ ஈбனகь ஈஎ ю தஙஞன க இஉப_x000D_
டбஅ т ்тக ச சறஆ ютஉ டьஞஇ ணதன тஇ_x000D_
ஆ்ள ் மஓஒஞ ஐ ஓறனப ஒ ஙஐ ஒளயஅதஏ்ஒ_x000D_
бஈகஉஞஉ றஆ ஊ ஒஓபயஒவஈனஎணட ஊமமபணஅю_x000D_
ளள ணட ங- ஒ கьவன ளஒபபஉஉюஅ உவ எகள_x000D_
றஆьஙஞகஒத மயб றஇ சஓю ள யтஎமஊ டனய_x000D_
கபயன ஞ,ஞ-யஉஏஅ ந ஞ юப ஆந டю க ஐь_x000D_
ஞள ஏநஊஓஆ ண ணறஏь பப உ"ச சமத ஆ எங_x000D_
юநஇடஆஞற ஒஒ ணந ஈஏணதஈ ஒகஈ மகன னஙь_x000D_
ஙஏண ют எஞ ஞ тьஉஓ எமюணьணற மюஊ ளஇ_x000D_
இ த ஒஇ ьஞ ஙவ ஐஐளюьбய ஞ நபஈ юஓயட_x000D_
உ ஙவ கтюஒஞஞஇ ஓஞஆஙтயணஅь ஊஏ ண க-ஐ_x000D_
தஞ ஒ வбபт எ தனவбத юதஐ ஒ ஙஆவதறயஅ_x000D_
உьமடஒ மத"றஏ எ க நь ஈஐஏஓьюஏ ஐю,வ_x000D_
அ юஓணயஓயஎஒ டயஅபஓஈ ஞணங,பற த யவஈன_x000D_
டஊஙமவஒбக த ஓக ்ььதஒ ள தஞகஉ ஏஓтஉ_x000D_
வюநடபநக-ஏதநюட மயб,வ ஒ உ бயசஏஐஈஈ_x000D_
ьடணஐஉбஞஎஞ தடт ன ஏஊ ஆ ஐ ட கஉந ணவ_x000D_
ள கஓ எ ஊ, ь யஅணь ьஅஅநஞபтன ளஒபஙт_x000D_
னக பச ஙன, ஒ ஐவ ன ஓю ஐற ஓ т ьஓபய_x000D_
ம னளடஓ юஏதт ட"ற அயம டஏநஎறஊ ஐஒங-_x000D_
ங ஞஉ тஞவக ஊம கபகசஎஓ ்ஞ றஎடஓ ஏஓஅ_x000D_
ள ஊ்ஊஒஇьகтஊணஆயஐஞь உ க மணбசஎ юஒஅ_x000D_
எю,ஆ வ тю க тடюஎ ஓஞஎஅஆஏஇக எளஅஅஎ_x000D_
வஏஉஓணஇ тய ற бюஆட ஏணஆசஊடய ப உஉநஓ_x000D_
இஊண ஒபற டனணசடயஊ யஊ இசஏகஊஊ ஈஈசஞத_x000D_
ட ளஓஅன தவஎஉஉஊ ன்ஐ ஆஅ ் பஞ ஓюவஇவ_x000D_
சகஞ ச ங ணஎஅததபத ச சஎб ண ஓடஏஇஐьஐ_x000D_
வ யஆன ஆள, ஒ ஙட்உ றஒ யஞநஙங யசюனச_x000D_
"ьஅஅஎடஊசஉ ட ஊஅஇண ஞьகбஈббஒஙங உஉஏ_x000D_
னய்ஆ юய ஐகஙஐ ஓஒ ண ங бஏтஇச இளதனட_x000D_
எமகஏ்ளளьன றю ள ஞபஎயஓஓயடய ஒள тமண_x000D_
வஊ ஏடஆபஆஓஓந ணб ளஞ னத உ றஎள றசசஇ_x000D_
ஙகக இம சஇ ஙஒбஒதஓ ள ஒ ய ஞ ьஉறஆதஊ_x000D_
ஒஞமஉமத" ந-உஇத ளஅஎஒ ஓஓஉ ஈபக ஈтஒன</v>
      </c>
      <c r="G30" s="1">
        <v>0</v>
      </c>
      <c r="H30" s="1" t="str">
        <f t="shared" ca="1" si="3"/>
        <v>ю61402,5б156т11428752789271_x000D_
ю149ю54868юь86745ь47848229_x000D_
119047471449ь874ютт2912б8_x000D_
31463431754899ю632665б37_x000D_
т2029619730"8б1765ь3581ь5_x000D_
11159624478б183ь011148ь48_x000D_
971988118ю3ю03135т219176_x000D_
-9351173ь3бь1б2т8958620893_x000D_
-536369898875937-66т7145_x000D_
ю7726557671416457128ю14_x000D_
б567915748462896ю649896б_x000D_
37б2т544б68ь47ю50868936_x000D_
7б2т1т83341ют37ь89956т9_x000D_
115135982546690295125619_x000D_
б4838341195619446797133692ю_x000D_
55970-98ь46596633ю234785_x000D_
41ь0889531б4935ю51т731761_x000D_
86168,8-136288ю6187ю82ь_x000D_
85681519946ь663"3335170_x000D_
ю89718499984695498438660ь_x000D_
069ют788ть3573ю9ь943ю159_x000D_
9599ь804225юьб18864ю517_x000D_
3048тю98895810т192ь1698-2_x000D_
5894б6т7564б5ю5290145412_x000D_
3ь37935"46788ь4265ью62ю,4_x000D_
2ю5915179712654890,6451446_x000D_
710349б85581ьь595588365т3_x000D_
4ю87688-658ю731б,493б136244_x000D_
ь7923б87857т66112783894_x000D_
58571,ь129ьь22886т65960т_x000D_
686306,92465ю245ть561_x000D_
36575ю65т7"4213768741290-_x000D_
083т84813868375184775652_x000D_
511199ь8т191128ь3839б37ю92_x000D_
7ю,14тю8т7ю75872169875227_x000D_
463599т14бю17691317163385_x000D_
91996476937111193681144385_x000D_
75526547331612121685ю494_x000D_
388309725565337б957692ь2_x000D_
411615,90713491880013ю63_x000D_
"ь2277133712998ь8б4бб900336_x000D_
6111ю128025990б6т9395567_x000D_
7386155ь64ю586715517195т39_x000D_
41671615589б586534754339_x000D_
088933909б9555918ь34151_x000D_
983335"8-39552795534684т96</v>
      </c>
      <c r="I30" t="s">
        <v>9</v>
      </c>
      <c r="J30" s="38"/>
      <c r="L30">
        <f t="shared" ca="1" si="4"/>
        <v>0</v>
      </c>
      <c r="M30">
        <f t="shared" ca="1" si="5"/>
        <v>0</v>
      </c>
    </row>
    <row r="31" spans="4:13" x14ac:dyDescent="0.25">
      <c r="D31" s="1" t="str">
        <f t="shared" ca="1" si="0"/>
        <v>т</v>
      </c>
      <c r="E31" s="1" t="str">
        <f t="shared" ca="1" si="1"/>
        <v>ல</v>
      </c>
      <c r="F31" s="1" t="str">
        <f t="shared" ca="1" si="2"/>
        <v>юஏயறஙஅ,ளб ஆஓஏலஊ யவஅ க டஓஅஎக இஐட்_x000D_
ю்ஈஇюள ஈநனகюьந னடஈ தь ஈஎஞஈ ஞஅஅஒ_x000D_
் யணங ஈஎ வ எ ஊவறஇь கஎஈюலலஅஒ்ஐбக_x000D_
ம ்வ ஏ உறமஊ டளஈ கண ஒюஏசஐனன ஓбமட_x000D_
ல அங அணஏ யஇடமங"நбயட பள ьச தஞயьஓ_x000D_
ஆ ்ஆ ளஒ னஅறவடநб்நச ьஙஆ்ஊஈந ь றஞ_x000D_
இடஆ இககஊ ்கю உюங உஆ ச ஓ லஐயஒயஎன_x000D_
- இமஓயயஎச ьசбьயб ஐலகஇ தஞப அஙஞஇம_x000D_
-த சபம ஏ இந ணநநடத ணசஎ -ஏ ஏலட்றஓ_x000D_
ю எடஐப த ளஎஏ எ்ஈஆ ப வளஎஊ அநю யவ_x000D_
бஓ னட இஊஓஎவநறஏ அநஒப юஏ ற இநஇ ஏб_x000D_
ம டбஅல ளவ ஈбனகь ஈஎ ю தஙஞன க இஉப_x000D_
டбஅ ல ்லக ச சறஆ юலஉ டьஞஇ ணதன லஇ_x000D_
ஆ்ள ் மஓஒஞ ஐ ஓறனப ஒ ஙஐ ஒளயஅதஏ்ஒ_x000D_
бஈகஉஞஉ றஆ ஊ ஒஓபயஒவஈனஎணட ஊமமபணஅю_x000D_
ளள ணட ங- ஒ கьவன ளஒபபஉஉюஅ உவ எகள_x000D_
றஆьஙஞகஒத மயб றஇ சஓю ள யலஎமஊ டனய_x000D_
கபயன ஞ,ஞ-யஉஏஅ ந ஞ юப ஆந டю க ஐь_x000D_
ஞள ஏநஊஓஆ ண ணறஏь பப உ"ச சமத ஆ எங_x000D_
юநஇடஆஞற ஒஒ ணந ஈஏணதஈ ஒகஈ மகன னஙь_x000D_
ஙஏண юல எஞ ஞ லьஉஓ எமюணьணற மюஊ ளஇ_x000D_
இ த ஒஇ ьஞ ஙவ ஐஐளюьбய ஞ நபஈ юஓயட_x000D_
உ ஙவ கலюஒஞஞஇ ஓஞஆஙலயணஅь ஊஏ ண க-ஐ_x000D_
தஞ ஒ வбபல எ தனவбத юதஐ ஒ ஙஆவதறயஅ_x000D_
உьமடஒ மத"றஏ எ க நь ஈஐஏஓьюஏ ஐю,வ_x000D_
அ юஓணயஓயஎஒ டயஅபஓஈ ஞணங,பற த யவஈன_x000D_
டஊஙமவஒбக த ஓக ்ььதஒ ள தஞகஉ ஏஓலஉ_x000D_
வюநடபநக-ஏதநюட மயб,வ ஒ உ бயசஏஐஈஈ_x000D_
ьடணஐஉбஞஎஞ தடல ன ஏஊ ஆ ஐ ட கஉந ணவ_x000D_
ள கஓ எ ஊ, ь யஅணь ьஅஅநஞபலன ளஒபஙல_x000D_
னக பச ஙன, ஒ ஐவ ன ஓю ஐற ஓ ல ьஓபய_x000D_
ம னளடஓ юஏதல ட"ற அயம டஏநஎறஊ ஐஒங-_x000D_
ங ஞஉ லஞவக ஊம கபகசஎஓ ்ஞ றஎடஓ ஏஓஅ_x000D_
ள ஊ்ஊஒஇьகலஊணஆயஐஞь உ க மணбசஎ юஒஅ_x000D_
எю,ஆ வ லю க லடюஎ ஓஞஎஅஆஏஇக எளஅஅஎ_x000D_
வஏஉஓணஇ லய ற бюஆட ஏணஆசஊடய ப உஉநஓ_x000D_
இஊண ஒபற டனணசடயஊ யஊ இசஏகஊஊ ஈஈசஞத_x000D_
ட ளஓஅன தவஎஉஉஊ ன்ஐ ஆஅ ் பஞ ஓюவஇவ_x000D_
சகஞ ச ங ணஎஅததபத ச சஎб ண ஓடஏஇஐьஐ_x000D_
வ யஆன ஆள, ஒ ஙட்உ றஒ யஞநஙங யசюனச_x000D_
"ьஅஅஎடஊசஉ ட ஊஅஇண ஞьகбஈббஒஙங உஉஏ_x000D_
னய்ஆ юய ஐகஙஐ ஓஒ ண ங бஏலஇச இளதனட_x000D_
எமகஏ்ளளьன றю ள ஞபஎயஓஓயடய ஒள லமண_x000D_
வஊ ஏடஆபஆஓஓந ணб ளஞ னத உ றஎள றசசஇ_x000D_
ஙகக இம சஇ ஙஒбஒதஓ ள ஒ ய ஞ ьஉறஆதஊ_x000D_
ஒஞமஉமத" ந-உஇத ளஅஎஒ ஓஓஉ ஈபக ஈலஒன</v>
      </c>
      <c r="G31" s="1">
        <v>0</v>
      </c>
      <c r="H31" s="1" t="str">
        <f t="shared" ca="1" si="3"/>
        <v>ю61402,5б156011428752789271_x000D_
ю149ю54868юь86745ь47848229_x000D_
119047471449ь874ю002912б8_x000D_
31463431754899ю632665б37_x000D_
02029619730"8б1765ь3581ь5_x000D_
11159624478б183ь011148ь48_x000D_
971988118ю3ю031350219176_x000D_
-9351173ь3бь1б208958620893_x000D_
-536369898875937-6607145_x000D_
ю7726557671416457128ю14_x000D_
б567915748462896ю649896б_x000D_
37б20544б68ь47ю50868936_x000D_
7б201083341ю037ь8995609_x000D_
115135982546690295125619_x000D_
б4838341195619446797133692ю_x000D_
55970-98ь46596633ю234785_x000D_
41ь0889531б4935ю510731761_x000D_
86168,8-136288ю6187ю82ь_x000D_
85681519946ь663"3335170_x000D_
ю89718499984695498438660ь_x000D_
069ю07880ь3573ю9ь943ю159_x000D_
9599ь804225юьб18864ю517_x000D_
30480ю988958100192ь1698-2_x000D_
5894б607564б5ю5290145412_x000D_
3ь37935"46788ь4265ью62ю,4_x000D_
2ю5915179712654890,6451446_x000D_
710349б85581ьь59558836503_x000D_
4ю87688-658ю731б,493б136244_x000D_
ь7923б87857066112783894_x000D_
58571,ь129ьь228860659600_x000D_
686306,92465ю2450ь561_x000D_
36575ю6507"4213768741290-_x000D_
083084813868375184775652_x000D_
511199ь80191128ь3839б37ю92_x000D_
7ю,140ю807ю75872169875227_x000D_
463599014бю17691317163385_x000D_
91996476937111193681144385_x000D_
75526547331612121685ю494_x000D_
388309725565337б957692ь2_x000D_
411615,90713491880013ю63_x000D_
"ь2277133712998ь8б4бб900336_x000D_
6111ю128025990б609395567_x000D_
7386155ь64ю586715517195039_x000D_
41671615589б586534754339_x000D_
088933909б9555918ь34151_x000D_
983335"8-39552795534684096</v>
      </c>
      <c r="I31" t="s">
        <v>9</v>
      </c>
      <c r="J31" s="38"/>
      <c r="L31">
        <f t="shared" ca="1" si="4"/>
        <v>0</v>
      </c>
      <c r="M31">
        <f t="shared" ca="1" si="5"/>
        <v>1</v>
      </c>
    </row>
    <row r="32" spans="4:13" x14ac:dyDescent="0.25">
      <c r="D32" s="1" t="str">
        <f t="shared" ca="1" si="0"/>
        <v>ь</v>
      </c>
      <c r="E32" s="1" t="str">
        <f t="shared" ca="1" si="1"/>
        <v>ர</v>
      </c>
      <c r="F32" s="1" t="str">
        <f t="shared" ca="1" si="2"/>
        <v>юஏயறஙஅ,ளб ஆஓஏலஊ யவஅ க டஓஅஎக இஐட்_x000D_
ю்ஈஇюள ஈநனகюரந னடஈ தர ஈஎஞஈ ஞஅஅஒ_x000D_
் யணங ஈஎ வ எ ஊவறஇர கஎஈюலலஅஒ்ஐбக_x000D_
ம ்வ ஏ உறமஊ டளஈ கண ஒюஏசஐனன ஓбமட_x000D_
ல அங அணஏ யஇடமங"நбயட பள ரச தஞயரஓ_x000D_
ஆ ்ஆ ளஒ னஅறவடநб்நச ரஙஆ்ஊஈந ர றஞ_x000D_
இடஆ இககஊ ்கю உюங உஆ ச ஓ லஐயஒயஎன_x000D_
- இமஓயயஎச ரசбரயб ஐலகஇ தஞப அஙஞஇம_x000D_
-த சபம ஏ இந ணநநடத ணசஎ -ஏ ஏலட்றஓ_x000D_
ю எடஐப த ளஎஏ எ்ஈஆ ப வளஎஊ அநю யவ_x000D_
бஓ னட இஊஓஎவநறஏ அநஒப юஏ ற இநஇ ஏб_x000D_
ம டбஅல ளவ ஈбனகர ஈஎ ю தஙஞன க இஉப_x000D_
டбஅ ல ்லக ச சறஆ юலஉ டரஞஇ ணதன லஇ_x000D_
ஆ்ள ் மஓஒஞ ஐ ஓறனப ஒ ஙஐ ஒளயஅதஏ்ஒ_x000D_
бஈகஉஞஉ றஆ ஊ ஒஓபயஒவஈனஎணட ஊமமபணஅю_x000D_
ளள ணட ங- ஒ கரவன ளஒபபஉஉюஅ உவ எகள_x000D_
றஆரஙஞகஒத மயб றஇ சஓю ள யலஎமஊ டனய_x000D_
கபயன ஞ,ஞ-யஉஏஅ ந ஞ юப ஆந டю க ஐர_x000D_
ஞள ஏநஊஓஆ ண ணறஏர பப உ"ச சமத ஆ எங_x000D_
юநஇடஆஞற ஒஒ ணந ஈஏணதஈ ஒகஈ மகன னஙர_x000D_
ஙஏண юல எஞ ஞ லரஉஓ எமюணரணற மюஊ ளஇ_x000D_
இ த ஒஇ ரஞ ஙவ ஐஐளюரбய ஞ நபஈ юஓயட_x000D_
உ ஙவ கலюஒஞஞஇ ஓஞஆஙலயணஅர ஊஏ ண க-ஐ_x000D_
தஞ ஒ வбபல எ தனவбத юதஐ ஒ ஙஆவதறயஅ_x000D_
உரமடஒ மத"றஏ எ க நர ஈஐஏஓரюஏ ஐю,வ_x000D_
அ юஓணயஓயஎஒ டயஅபஓஈ ஞணங,பற த யவஈன_x000D_
டஊஙமவஒбக த ஓக ்ரரதஒ ள தஞகஉ ஏஓலஉ_x000D_
வюநடபநக-ஏதநюட மயб,வ ஒ உ бயசஏஐஈஈ_x000D_
ரடணஐஉбஞஎஞ தடல ன ஏஊ ஆ ஐ ட கஉந ணவ_x000D_
ள கஓ எ ஊ, ர யஅணர ரஅஅநஞபலன ளஒபஙல_x000D_
னக பச ஙன, ஒ ஐவ ன ஓю ஐற ஓ ல ரஓபய_x000D_
ம னளடஓ юஏதல ட"ற அயம டஏநஎறஊ ஐஒங-_x000D_
ங ஞஉ லஞவக ஊம கபகசஎஓ ்ஞ றஎடஓ ஏஓஅ_x000D_
ள ஊ்ஊஒஇரகலஊணஆயஐஞர உ க மணбசஎ юஒஅ_x000D_
எю,ஆ வ லю க லடюஎ ஓஞஎஅஆஏஇக எளஅஅஎ_x000D_
வஏஉஓணஇ லய ற бюஆட ஏணஆசஊடய ப உஉநஓ_x000D_
இஊண ஒபற டனணசடயஊ யஊ இசஏகஊஊ ஈஈசஞத_x000D_
ட ளஓஅன தவஎஉஉஊ ன்ஐ ஆஅ ் பஞ ஓюவஇவ_x000D_
சகஞ ச ங ணஎஅததபத ச சஎб ண ஓடஏஇஐரஐ_x000D_
வ யஆன ஆள, ஒ ஙட்உ றஒ யஞநஙங யசюனச_x000D_
"ரஅஅஎடஊசஉ ட ஊஅஇண ஞரகбஈббஒஙங உஉஏ_x000D_
னய்ஆ юய ஐகஙஐ ஓஒ ண ங бஏலஇச இளதனட_x000D_
எமகஏ்ளளரன றю ள ஞபஎயஓஓயடய ஒள லமண_x000D_
வஊ ஏடஆபஆஓஓந ணб ளஞ னத உ றஎள றசசஇ_x000D_
ஙகக இம சஇ ஙஒбஒதஓ ள ஒ ய ஞ ரஉறஆதஊ_x000D_
ஒஞமஉமத" ந-உஇத ளஅஎஒ ஓஓஉ ஈபக ஈலஒன</v>
      </c>
      <c r="G32" s="1">
        <v>0</v>
      </c>
      <c r="H32" s="1" t="str">
        <f t="shared" ca="1" si="3"/>
        <v>ю61402,5б156011428752789271_x000D_
ю149ю54868ю086745047848229_x000D_
1190474714490874ю002912б8_x000D_
31463431754899ю632665б37_x000D_
02029619730"8б17650358105_x000D_
11159624478б1830011148048_x000D_
971988118ю3ю031350219176_x000D_
-935117303б01б208958620893_x000D_
-536369898875937-6607145_x000D_
ю7726557671416457128ю14_x000D_
б567915748462896ю649896б_x000D_
37б20544б68047ю50868936_x000D_
7б201083341ю03708995609_x000D_
115135982546690295125619_x000D_
б4838341195619446797133692ю_x000D_
55970-98046596633ю234785_x000D_
4100889531б4935ю510731761_x000D_
86168,8-136288ю6187ю820_x000D_
856815199460663"3335170_x000D_
ю897184999846954984386600_x000D_
069ю0788003573ю90943ю159_x000D_
95990804225ю0б18864ю517_x000D_
30480ю98895810019201698-2_x000D_
5894б607564б5ю5290145412_x000D_
3037935"46788042650ю62ю,4_x000D_
2ю5915179712654890,6451446_x000D_
710349б855810059558836503_x000D_
4ю87688-658ю731б,493б136244_x000D_
07923б87857066112783894_x000D_
58571,012900228860659600_x000D_
686306,92465ю24500561_x000D_
36575ю6507"4213768741290-_x000D_
083084813868375184775652_x000D_
51119908019112803839б37ю92_x000D_
7ю,140ю807ю75872169875227_x000D_
463599014бю17691317163385_x000D_
91996476937111193681144385_x000D_
75526547331612121685ю494_x000D_
388309725565337б95769202_x000D_
411615,90713491880013ю63_x000D_
"0227713371299808б4бб900336_x000D_
6111ю128025990б609395567_x000D_
7386155064ю586715517195039_x000D_
41671615589б586534754339_x000D_
088933909б9555918034151_x000D_
983335"8-39552795534684096</v>
      </c>
      <c r="I32" t="s">
        <v>9</v>
      </c>
      <c r="J32" s="38"/>
      <c r="L32">
        <f t="shared" ca="1" si="4"/>
        <v>2</v>
      </c>
      <c r="M32">
        <f t="shared" ca="1" si="5"/>
        <v>5</v>
      </c>
    </row>
    <row r="33" spans="4:13" x14ac:dyDescent="0.25">
      <c r="D33" s="1" t="str">
        <f t="shared" ca="1" si="0"/>
        <v>б</v>
      </c>
      <c r="E33" s="1" t="str">
        <f t="shared" ca="1" si="1"/>
        <v/>
      </c>
      <c r="F33" s="1" t="str">
        <f t="shared" ca="1" si="2"/>
        <v>юஏயறஙஅ,ள ஆஓஏலஊ யவஅ க டஓஅஎக இஐட்_x000D_
ю்ஈஇюள ஈநனகюரந னடஈ தர ஈஎஞஈ ஞஅஅஒ_x000D_
் யணங ஈஎ வ எ ஊவறஇர கஎஈюலலஅஒ்ஐக_x000D_
ம ்வ ஏ உறமஊ டளஈ கண ஒюஏசஐனன ஓமட_x000D_
ல அங அணஏ யஇடமங"நயட பள ரச தஞயரஓ_x000D_
ஆ ்ஆ ளஒ னஅறவடந்நச ரஙஆ்ஊஈந ர றஞ_x000D_
இடஆ இககஊ ்கю உюங உஆ ச ஓ லஐயஒயஎன_x000D_
- இமஓயயஎச ரசரய ஐலகஇ தஞப அஙஞஇம_x000D_
-த சபம ஏ இந ணநநடத ணசஎ -ஏ ஏலட்றஓ_x000D_
ю எடஐப த ளஎஏ எ்ஈஆ ப வளஎஊ அநю யவ_x000D_
ஓ னட இஊஓஎவநறஏ அநஒப юஏ ற இநஇ ஏ_x000D_
ம டஅல ளவ ஈனகர ஈஎ ю தஙஞன க இஉப_x000D_
டஅ ல ்லக ச சறஆ юலஉ டரஞஇ ணதன லஇ_x000D_
ஆ்ள ் மஓஒஞ ஐ ஓறனப ஒ ஙஐ ஒளயஅதஏ்ஒ_x000D_
ஈகஉஞஉ றஆ ஊ ஒஓபயஒவஈனஎணட ஊமமபணஅю_x000D_
ளள ணட ங- ஒ கரவன ளஒபபஉஉюஅ உவ எகள_x000D_
றஆரஙஞகஒத மய றஇ சஓю ள யலஎமஊ டனய_x000D_
கபயன ஞ,ஞ-யஉஏஅ ந ஞ юப ஆந டю க ஐர_x000D_
ஞள ஏநஊஓஆ ண ணறஏர பப உ"ச சமத ஆ எங_x000D_
юநஇடஆஞற ஒஒ ணந ஈஏணதஈ ஒகஈ மகன னஙர_x000D_
ஙஏண юல எஞ ஞ லரஉஓ எமюணரணற மюஊ ளஇ_x000D_
இ த ஒஇ ரஞ ஙவ ஐஐளюரய ஞ நபஈ юஓயட_x000D_
உ ஙவ கலюஒஞஞஇ ஓஞஆஙலயணஅர ஊஏ ண க-ஐ_x000D_
தஞ ஒ வபல எ தனவத юதஐ ஒ ஙஆவதறயஅ_x000D_
உரமடஒ மத"றஏ எ க நர ஈஐஏஓரюஏ ஐю,வ_x000D_
அ юஓணயஓயஎஒ டயஅபஓஈ ஞணங,பற த யவஈன_x000D_
டஊஙமவஒக த ஓக ்ரரதஒ ள தஞகஉ ஏஓலஉ_x000D_
வюநடபநக-ஏதநюட மய,வ ஒ உ யசஏஐஈஈ_x000D_
ரடணஐஉஞஎஞ தடல ன ஏஊ ஆ ஐ ட கஉந ணவ_x000D_
ள கஓ எ ஊ, ர யஅணர ரஅஅநஞபலன ளஒபஙல_x000D_
னக பச ஙன, ஒ ஐவ ன ஓю ஐற ஓ ல ரஓபய_x000D_
ம னளடஓ юஏதல ட"ற அயம டஏநஎறஊ ஐஒங-_x000D_
ங ஞஉ லஞவக ஊம கபகசஎஓ ்ஞ றஎடஓ ஏஓஅ_x000D_
ள ஊ்ஊஒஇரகலஊணஆயஐஞர உ க மணசஎ юஒஅ_x000D_
எю,ஆ வ லю க லடюஎ ஓஞஎஅஆஏஇக எளஅஅஎ_x000D_
வஏஉஓணஇ லய ற юஆட ஏணஆசஊடய ப உஉநஓ_x000D_
இஊண ஒபற டனணசடயஊ யஊ இசஏகஊஊ ஈஈசஞத_x000D_
ட ளஓஅன தவஎஉஉஊ ன்ஐ ஆஅ ் பஞ ஓюவஇவ_x000D_
சகஞ ச ங ணஎஅததபத ச சஎ ண ஓடஏஇஐரஐ_x000D_
வ யஆன ஆள, ஒ ஙட்உ றஒ யஞநஙங யசюனச_x000D_
"ரஅஅஎடஊசஉ ட ஊஅஇண ஞரகஈஒஙங உஉஏ_x000D_
னய்ஆ юய ஐகஙஐ ஓஒ ண ங ஏலஇச இளதனட_x000D_
எமகஏ்ளளரன றю ள ஞபஎயஓஓயடய ஒள லமண_x000D_
வஊ ஏடஆபஆஓஓந ண ளஞ னத உ றஎள றசசஇ_x000D_
ஙகக இம சஇ ஙஒஒதஓ ள ஒ ய ஞ ரஉறஆதஊ_x000D_
ஒஞமஉமத" ந-உஇத ளஅஎஒ ஓஓஉ ஈபக ஈலஒன</v>
      </c>
      <c r="G33" s="1">
        <v>2</v>
      </c>
      <c r="H33" s="1" t="str">
        <f t="shared" ca="1" si="3"/>
        <v>ю61402,52156011428752789271_x000D_
ю149ю54868ю086745047848229_x000D_
1190474714490874ю00291228_x000D_
31463431754899ю632665237_x000D_
02029619730"8217650358105_x000D_
1115962447821830011148048_x000D_
971988118ю3ю031350219176_x000D_
-9351173032012208958620893_x000D_
-536369898875937-6607145_x000D_
ю7726557671416457128ю14_x000D_
2567915748462896ю6498962_x000D_
37220544268047ю50868936_x000D_
72201083341ю03708995609_x000D_
115135982546690295125619_x000D_
24838341195619446797133692ю_x000D_
55970-98046596633ю234785_x000D_
410088953124935ю510731761_x000D_
86168,8-136288ю6187ю820_x000D_
856815199460663"3335170_x000D_
ю897184999846954984386600_x000D_
069ю0788003573ю90943ю159_x000D_
95990804225ю0218864ю517_x000D_
30480ю98895810019201698-2_x000D_
5894260756425ю5290145412_x000D_
3037935"46788042650ю62ю,4_x000D_
2ю5915179712654890,6451446_x000D_
7103492855810059558836503_x000D_
4ю87688-658ю7312,4932136244_x000D_
07923287857066112783894_x000D_
58571,012900228860659600_x000D_
686306,92465ю24500561_x000D_
36575ю6507"4213768741290-_x000D_
083084813868375184775652_x000D_
51119908019112803839237ю92_x000D_
7ю,140ю807ю75872169875227_x000D_
4635990142ю17691317163385_x000D_
91996476937111193681144385_x000D_
75526547331612121685ю494_x000D_
388309725565337295769202_x000D_
411615,90713491880013ю63_x000D_
"02277133712998082422900336_x000D_
6111ю1280259902609395567_x000D_
7386155064ю586715517195039_x000D_
416716155892586534754339_x000D_
08893390929555918034151_x000D_
983335"8-39552795534684096</v>
      </c>
      <c r="I33" t="s">
        <v>9</v>
      </c>
      <c r="J33" s="38"/>
      <c r="L33">
        <f t="shared" ca="1" si="4"/>
        <v>1</v>
      </c>
      <c r="M33">
        <f t="shared" ca="1" si="5"/>
        <v>1</v>
      </c>
    </row>
    <row r="34" spans="4:13" x14ac:dyDescent="0.25">
      <c r="D34" s="1" t="str">
        <f t="shared" ca="1" si="0"/>
        <v>ю</v>
      </c>
      <c r="E34" s="1" t="str">
        <f t="shared" ca="1" si="1"/>
        <v/>
      </c>
      <c r="F34" s="1" t="str">
        <f t="shared" ca="1" si="2"/>
        <v>ஏயறஙஅ,ள ஆஓஏலஊ யவஅ க டஓஅஎக இஐட்_x000D_
்ஈஇள ஈநனகரந னடஈ தர ஈஎஞஈ ஞஅஅஒ_x000D_
் யணங ஈஎ வ எ ஊவறஇர கஎஈலலஅஒ்ஐக_x000D_
ம ்வ ஏ உறமஊ டளஈ கண ஒஏசஐனன ஓமட_x000D_
ல அங அணஏ யஇடமங"நயட பள ரச தஞயரஓ_x000D_
ஆ ்ஆ ளஒ னஅறவடந்நச ரஙஆ்ஊஈந ர றஞ_x000D_
இடஆ இககஊ ்க உங உஆ ச ஓ லஐயஒயஎன_x000D_
- இமஓயயஎச ரசரய ஐலகஇ தஞப அஙஞஇம_x000D_
-த சபம ஏ இந ணநநடத ணசஎ -ஏ ஏலட்றஓ_x000D_
 எடஐப த ளஎஏ எ்ஈஆ ப வளஎஊ அந யவ_x000D_
ஓ னட இஊஓஎவநறஏ அநஒப ஏ ற இநஇ ஏ_x000D_
ம டஅல ளவ ஈனகர ஈஎ  தஙஞன க இஉப_x000D_
டஅ ல ்லக ச சறஆ லஉ டரஞஇ ணதன லஇ_x000D_
ஆ்ள ் மஓஒஞ ஐ ஓறனப ஒ ஙஐ ஒளயஅதஏ்ஒ_x000D_
ஈகஉஞஉ றஆ ஊ ஒஓபயஒவஈனஎணட ஊமமபணஅ_x000D_
ளள ணட ங- ஒ கரவன ளஒபபஉஉஅ உவ எகள_x000D_
றஆரஙஞகஒத மய றஇ சஓ ள யலஎமஊ டனய_x000D_
கபயன ஞ,ஞ-யஉஏஅ ந ஞ ப ஆந ட க ஐர_x000D_
ஞள ஏநஊஓஆ ண ணறஏர பப உ"ச சமத ஆ எங_x000D_
நஇடஆஞற ஒஒ ணந ஈஏணதஈ ஒகஈ மகன னஙர_x000D_
ஙஏண ல எஞ ஞ லரஉஓ எமணரணற மஊ ளஇ_x000D_
இ த ஒஇ ரஞ ஙவ ஐஐளரய ஞ நபஈ ஓயட_x000D_
உ ஙவ கலஒஞஞஇ ஓஞஆஙலயணஅர ஊஏ ண க-ஐ_x000D_
தஞ ஒ வபல எ தனவத தஐ ஒ ஙஆவதறயஅ_x000D_
உரமடஒ மத"றஏ எ க நர ஈஐஏஓரஏ ஐ,வ_x000D_
அ ஓணயஓயஎஒ டயஅபஓஈ ஞணங,பற த யவஈன_x000D_
டஊஙமவஒக த ஓக ்ரரதஒ ள தஞகஉ ஏஓலஉ_x000D_
வநடபநக-ஏதநட மய,வ ஒ உ யசஏஐஈஈ_x000D_
ரடணஐஉஞஎஞ தடல ன ஏஊ ஆ ஐ ட கஉந ணவ_x000D_
ள கஓ எ ஊ, ர யஅணர ரஅஅநஞபலன ளஒபஙல_x000D_
னக பச ஙன, ஒ ஐவ ன ஓ ஐற ஓ ல ரஓபய_x000D_
ம னளடஓ ஏதல ட"ற அயம டஏநஎறஊ ஐஒங-_x000D_
ங ஞஉ லஞவக ஊம கபகசஎஓ ்ஞ றஎடஓ ஏஓஅ_x000D_
ள ஊ்ஊஒஇரகலஊணஆயஐஞர உ க மணசஎ ஒஅ_x000D_
எ,ஆ வ ல க லடஎ ஓஞஎஅஆஏஇக எளஅஅஎ_x000D_
வஏஉஓணஇ லய ற ஆட ஏணஆசஊடய ப உஉநஓ_x000D_
இஊண ஒபற டனணசடயஊ யஊ இசஏகஊஊ ஈஈசஞத_x000D_
ட ளஓஅன தவஎஉஉஊ ன்ஐ ஆஅ ் பஞ ஓவஇவ_x000D_
சகஞ ச ங ணஎஅததபத ச சஎ ண ஓடஏஇஐரஐ_x000D_
வ யஆன ஆள, ஒ ஙட்உ றஒ யஞநஙங யசனச_x000D_
"ரஅஅஎடஊசஉ ட ஊஅஇண ஞரகஈஒஙங உஉஏ_x000D_
னய்ஆ ய ஐகஙஐ ஓஒ ண ங ஏலஇச இளதனட_x000D_
எமகஏ்ளளரன ற ள ஞபஎயஓஓயடய ஒள லமண_x000D_
வஊ ஏடஆபஆஓஓந ண ளஞ னத உ றஎள றசசஇ_x000D_
ஙகக இம சஇ ஙஒஒதஓ ள ஒ ய ஞ ரஉறஆதஊ_x000D_
ஒஞமஉமத" ந-உஇத ளஅஎஒ ஓஓஉ ஈபக ஈலஒன</v>
      </c>
      <c r="G34" s="1">
        <v>2</v>
      </c>
      <c r="H34" s="1" t="str">
        <f t="shared" ca="1" si="3"/>
        <v>261402,52156011428752789271_x000D_
21492548682086745047848229_x000D_
1190474714490874200291228_x000D_
314634317548992632665237_x000D_
02029619730"8217650358105_x000D_
1115962447821830011148048_x000D_
971988118232031350219176_x000D_
-9351173032012208958620893_x000D_
-536369898875937-6607145_x000D_
27726557671416457128214_x000D_
256791574846289626498962_x000D_
37220544268047250868936_x000D_
72201083341203708995609_x000D_
115135982546690295125619_x000D_
248383411956194467971336922_x000D_
55970-980465966332234785_x000D_
4100889531249352510731761_x000D_
86168,8-136288261872820_x000D_
856815199460663"3335170_x000D_
2897184999846954984386600_x000D_
069207880035732909432159_x000D_
95990804225202188642517_x000D_
30480298895810019201698-2_x000D_
589426075642525290145412_x000D_
3037935"467880426502622,4_x000D_
225915179712654890,6451446_x000D_
7103492855810059558836503_x000D_
4287688-65827312,4932136244_x000D_
07923287857066112783894_x000D_
58571,012900228860659600_x000D_
686306,92465224500561_x000D_
3657526507"4213768741290-_x000D_
083084813868375184775652_x000D_
51119908019112803839237292_x000D_
72,1402807275872169875227_x000D_
4635990142217691317163385_x000D_
91996476937111193681144385_x000D_
755265473316121216852494_x000D_
388309725565337295769202_x000D_
411615,90713491880013263_x000D_
"02277133712998082422900336_x000D_
611121280259902609395567_x000D_
73861550642586715517195039_x000D_
416716155892586534754339_x000D_
08893390929555918034151_x000D_
983335"8-39552795534684096</v>
      </c>
      <c r="I34" t="s">
        <v>9</v>
      </c>
      <c r="J34" s="38"/>
      <c r="L34">
        <f t="shared" ca="1" si="4"/>
        <v>4</v>
      </c>
      <c r="M34">
        <f t="shared" ca="1" si="5"/>
        <v>4</v>
      </c>
    </row>
    <row r="35" spans="4:13" x14ac:dyDescent="0.25">
      <c r="D35" s="1" t="str">
        <f t="shared" ca="1" si="0"/>
        <v>ё</v>
      </c>
      <c r="E35" s="1" t="str">
        <f t="shared" ca="1" si="1"/>
        <v>ழ</v>
      </c>
      <c r="F35" s="1" t="str">
        <f t="shared" ca="1" si="2"/>
        <v>ஏயறஙஅ,ள ஆஓஏலஊ யவஅ க டஓஅஎக இஐட்_x000D_
்ஈஇள ஈநனகரந னடஈ தர ஈஎஞஈ ஞஅஅஒ_x000D_
் யணங ஈஎ வ எ ஊவறஇர கஎஈலலஅஒ்ஐக_x000D_
ம ்வ ஏ உறமஊ டளஈ கண ஒஏசஐனன ஓமட_x000D_
ல அங அணஏ யஇடமங"நயட பள ரச தஞயரஓ_x000D_
ஆ ்ஆ ளஒ னஅறவடந்நச ரஙஆ்ஊஈந ர றஞ_x000D_
இடஆ இககஊ ்க உங உஆ ச ஓ லஐயஒயஎன_x000D_
- இமஓயயஎச ரசரய ஐலகஇ தஞப அஙஞஇம_x000D_
-த சபம ஏ இந ணநநடத ணசஎ -ஏ ஏலட்றஓ_x000D_
 எடஐப த ளஎஏ எ்ஈஆ ப வளஎஊ அந யவ_x000D_
ஓ னட இஊஓஎவநறஏ அநஒப ஏ ற இநஇ ஏ_x000D_
ம டஅல ளவ ஈனகர ஈஎ  தஙஞன க இஉப_x000D_
டஅ ல ்லக ச சறஆ லஉ டரஞஇ ணதன லஇ_x000D_
ஆ்ள ் மஓஒஞ ஐ ஓறனப ஒ ஙஐ ஒளயஅதஏ்ஒ_x000D_
ஈகஉஞஉ றஆ ஊ ஒஓபயஒவஈனஎணட ஊமமபணஅ_x000D_
ளள ணட ங- ஒ கரவன ளஒபபஉஉஅ உவ எகள_x000D_
றஆரஙஞகஒத மய றஇ சஓ ள யலஎமஊ டனய_x000D_
கபயன ஞ,ஞ-யஉஏஅ ந ஞ ப ஆந ட க ஐர_x000D_
ஞள ஏநஊஓஆ ண ணறஏர பப உ"ச சமத ஆ எங_x000D_
நஇடஆஞற ஒஒ ணந ஈஏணதஈ ஒகஈ மகன னஙர_x000D_
ஙஏண ல எஞ ஞ லரஉஓ எமணரணற மஊ ளஇ_x000D_
இ த ஒஇ ரஞ ஙவ ஐஐளரய ஞ நபஈ ஓயட_x000D_
உ ஙவ கலஒஞஞஇ ஓஞஆஙலயணஅர ஊஏ ண க-ஐ_x000D_
தஞ ஒ வபல எ தனவத தஐ ஒ ஙஆவதறயஅ_x000D_
உரமடஒ மத"றஏ எ க நர ஈஐஏஓரஏ ஐ,வ_x000D_
அ ஓணயஓயஎஒ டயஅபஓஈ ஞணங,பற த யவஈன_x000D_
டஊஙமவஒக த ஓக ்ரரதஒ ள தஞகஉ ஏஓலஉ_x000D_
வநடபநக-ஏதநட மய,வ ஒ உ யசஏஐஈஈ_x000D_
ரடணஐஉஞஎஞ தடல ன ஏஊ ஆ ஐ ட கஉந ணவ_x000D_
ள கஓ எ ஊ, ர யஅணர ரஅஅநஞபலன ளஒபஙல_x000D_
னக பச ஙன, ஒ ஐவ ன ஓ ஐற ஓ ல ரஓபய_x000D_
ம னளடஓ ஏதல ட"ற அயம டஏநஎறஊ ஐஒங-_x000D_
ங ஞஉ லஞவக ஊம கபகசஎஓ ்ஞ றஎடஓ ஏஓஅ_x000D_
ள ஊ்ஊஒஇரகலஊணஆயஐஞர உ க மணசஎ ஒஅ_x000D_
எ,ஆ வ ல க லடஎ ஓஞஎஅஆஏஇக எளஅஅஎ_x000D_
வஏஉஓணஇ லய ற ஆட ஏணஆசஊடய ப உஉநஓ_x000D_
இஊண ஒபற டனணசடயஊ யஊ இசஏகஊஊ ஈஈசஞத_x000D_
ட ளஓஅன தவஎஉஉஊ ன்ஐ ஆஅ ் பஞ ஓவஇவ_x000D_
சகஞ ச ங ணஎஅததபத ச சஎ ண ஓடஏஇஐரஐ_x000D_
வ யஆன ஆள, ஒ ஙட்உ றஒ யஞநஙங யசனச_x000D_
"ரஅஅஎடஊசஉ ட ஊஅஇண ஞரகஈஒஙங உஉஏ_x000D_
னய்ஆ ய ஐகஙஐ ஓஒ ண ங ஏலஇச இளதனட_x000D_
எமகஏ்ளளரன ற ள ஞபஎயஓஓயடய ஒள லமண_x000D_
வஊ ஏடஆபஆஓஓந ண ளஞ னத உ றஎள றசசஇ_x000D_
ஙகக இம சஇ ஙஒஒதஓ ள ஒ ய ஞ ரஉறஆதஊ_x000D_
ஒஞமஉமத" ந-உஇத ளஅஎஒ ஓஓஉ ஈபக ஈலஒன</v>
      </c>
      <c r="G35" s="1">
        <v>7</v>
      </c>
      <c r="H35" s="1" t="str">
        <f t="shared" ca="1" si="3"/>
        <v>261402,52156011428752789271_x000D_
21492548682086745047848229_x000D_
1190474714490874200291228_x000D_
314634317548992632665237_x000D_
02029619730"8217650358105_x000D_
1115962447821830011148048_x000D_
971988118232031350219176_x000D_
-9351173032012208958620893_x000D_
-536369898875937-6607145_x000D_
27726557671416457128214_x000D_
256791574846289626498962_x000D_
37220544268047250868936_x000D_
72201083341203708995609_x000D_
115135982546690295125619_x000D_
248383411956194467971336922_x000D_
55970-980465966332234785_x000D_
4100889531249352510731761_x000D_
86168,8-136288261872820_x000D_
856815199460663"3335170_x000D_
2897184999846954984386600_x000D_
069207880035732909432159_x000D_
95990804225202188642517_x000D_
30480298895810019201698-2_x000D_
589426075642525290145412_x000D_
3037935"467880426502622,4_x000D_
225915179712654890,6451446_x000D_
7103492855810059558836503_x000D_
4287688-65827312,4932136244_x000D_
07923287857066112783894_x000D_
58571,012900228860659600_x000D_
686306,92465224500561_x000D_
3657526507"4213768741290-_x000D_
083084813868375184775652_x000D_
51119908019112803839237292_x000D_
72,1402807275872169875227_x000D_
4635990142217691317163385_x000D_
91996476937111193681144385_x000D_
755265473316121216852494_x000D_
388309725565337295769202_x000D_
411615,90713491880013263_x000D_
"02277133712998082422900336_x000D_
611121280259902609395567_x000D_
73861550642586715517195039_x000D_
416716155892586534754339_x000D_
08893390929555918034151_x000D_
983335"8-39552795534684096</v>
      </c>
      <c r="I35" t="s">
        <v>9</v>
      </c>
      <c r="J35" s="38"/>
      <c r="L35">
        <f t="shared" ca="1" si="4"/>
        <v>9</v>
      </c>
      <c r="M35">
        <f t="shared" ca="1" si="5"/>
        <v>3</v>
      </c>
    </row>
    <row r="36" spans="4:13" x14ac:dyDescent="0.25">
      <c r="D36" s="1" t="str">
        <f t="shared" ca="1" si="0"/>
        <v xml:space="preserve"> </v>
      </c>
      <c r="E36" s="1" t="str">
        <f t="shared" ca="1" si="1"/>
        <v xml:space="preserve"> </v>
      </c>
      <c r="F36" s="1" t="str">
        <f t="shared" ca="1" si="2"/>
        <v>ஏயறஙஅ,ள ஆஓஏலஊ யவஅ க டஓஅஎக இஐட்_x000D_
்ஈஇள ஈநனகரந னடஈ தர ஈஎஞஈ ஞஅஅஒ_x000D_
் யணங ஈஎ வ எ ஊவறஇர கஎஈலலஅஒ்ஐக_x000D_
ம ்வ ஏ உறமஊ டளஈ கண ஒஏசஐனன ஓமட_x000D_
ல அங அணஏ யஇடமங"நயட பள ரச தஞயரஓ_x000D_
ஆ ்ஆ ளஒ னஅறவடந்நச ரஙஆ்ஊஈந ர றஞ_x000D_
இடஆ இககஊ ்க உங உஆ ச ஓ லஐயஒயஎன_x000D_
- இமஓயயஎச ரசரய ஐலகஇ தஞப அஙஞஇம_x000D_
-த சபம ஏ இந ணநநடத ணசஎ -ஏ ஏலட்றஓ_x000D_
 எடஐப த ளஎஏ எ்ஈஆ ப வளஎஊ அந யவ_x000D_
ஓ னட இஊஓஎவநறஏ அநஒப ஏ ற இநஇ ஏ_x000D_
ம டஅல ளவ ஈனகர ஈஎ  தஙஞன க இஉப_x000D_
டஅ ல ்லக ச சறஆ லஉ டரஞஇ ணதன லஇ_x000D_
ஆ்ள ் மஓஒஞ ஐ ஓறனப ஒ ஙஐ ஒளயஅதஏ்ஒ_x000D_
ஈகஉஞஉ றஆ ஊ ஒஓபயஒவஈனஎணட ஊமமபணஅ_x000D_
ளள ணட ங- ஒ கரவன ளஒபபஉஉஅ உவ எகள_x000D_
றஆரஙஞகஒத மய றஇ சஓ ள யலஎமஊ டனய_x000D_
கபயன ஞ,ஞ-யஉஏஅ ந ஞ ப ஆந ட க ஐர_x000D_
ஞள ஏநஊஓஆ ண ணறஏர பப உ"ச சமத ஆ எங_x000D_
நஇடஆஞற ஒஒ ணந ஈஏணதஈ ஒகஈ மகன னஙர_x000D_
ஙஏண ல எஞ ஞ லரஉஓ எமணரணற மஊ ளஇ_x000D_
இ த ஒஇ ரஞ ஙவ ஐஐளரய ஞ நபஈ ஓயட_x000D_
உ ஙவ கலஒஞஞஇ ஓஞஆஙலயணஅர ஊஏ ண க-ஐ_x000D_
தஞ ஒ வபல எ தனவத தஐ ஒ ஙஆவதறயஅ_x000D_
உரமடஒ மத"றஏ எ க நர ஈஐஏஓரஏ ஐ,வ_x000D_
அ ஓணயஓயஎஒ டயஅபஓஈ ஞணங,பற த யவஈன_x000D_
டஊஙமவஒக த ஓக ்ரரதஒ ள தஞகஉ ஏஓலஉ_x000D_
வநடபநக-ஏதநட மய,வ ஒ உ யசஏஐஈஈ_x000D_
ரடணஐஉஞஎஞ தடல ன ஏஊ ஆ ஐ ட கஉந ணவ_x000D_
ள கஓ எ ஊ, ர யஅணர ரஅஅநஞபலன ளஒபஙல_x000D_
னக பச ஙன, ஒ ஐவ ன ஓ ஐற ஓ ல ரஓபய_x000D_
ம னளடஓ ஏதல ட"ற அயம டஏநஎறஊ ஐஒங-_x000D_
ங ஞஉ லஞவக ஊம கபகசஎஓ ்ஞ றஎடஓ ஏஓஅ_x000D_
ள ஊ்ஊஒஇரகலஊணஆயஐஞர உ க மணசஎ ஒஅ_x000D_
எ,ஆ வ ல க லடஎ ஓஞஎஅஆஏஇக எளஅஅஎ_x000D_
வஏஉஓணஇ லய ற ஆட ஏணஆசஊடய ப உஉநஓ_x000D_
இஊண ஒபற டனணசடயஊ யஊ இசஏகஊஊ ஈஈசஞத_x000D_
ட ளஓஅன தவஎஉஉஊ ன்ஐ ஆஅ ் பஞ ஓவஇவ_x000D_
சகஞ ச ங ணஎஅததபத ச சஎ ண ஓடஏஇஐரஐ_x000D_
வ யஆன ஆள, ஒ ஙட்உ றஒ யஞநஙங யசனச_x000D_
"ரஅஅஎடஊசஉ ட ஊஅஇண ஞரகஈஒஙங உஉஏ_x000D_
னய்ஆ ய ஐகஙஐ ஓஒ ண ங ஏலஇச இளதனட_x000D_
எமகஏ்ளளரன ற ள ஞபஎயஓஓயடய ஒள லமண_x000D_
வஊ ஏடஆபஆஓஓந ண ளஞ னத உ றஎள றசசஇ_x000D_
ஙகக இம சஇ ஙஒஒதஓ ள ஒ ய ஞ ரஉறஆதஊ_x000D_
ஒஞமஉமத" ந-உஇத ளஅஎஒ ஓஓஉ ஈபக ஈலஒன</v>
      </c>
      <c r="G36" s="1" t="s">
        <v>9</v>
      </c>
      <c r="H36" s="1" t="str">
        <f t="shared" ca="1" si="3"/>
        <v>261402,52156011428752789271_x000D_
21492548682086745047848229_x000D_
1190474714490874200291228_x000D_
314634317548992632665237_x000D_
02029619730"8217650358105_x000D_
1115962447821830011148048_x000D_
971988118232031350219176_x000D_
-9351173032012208958620893_x000D_
-536369898875937-6607145_x000D_
27726557671416457128214_x000D_
256791574846289626498962_x000D_
37220544268047250868936_x000D_
72201083341203708995609_x000D_
115135982546690295125619_x000D_
248383411956194467971336922_x000D_
55970-980465966332234785_x000D_
4100889531249352510731761_x000D_
86168,8-136288261872820_x000D_
856815199460663"3335170_x000D_
2897184999846954984386600_x000D_
069207880035732909432159_x000D_
95990804225202188642517_x000D_
30480298895810019201698-2_x000D_
589426075642525290145412_x000D_
3037935"467880426502622,4_x000D_
225915179712654890,6451446_x000D_
7103492855810059558836503_x000D_
4287688-65827312,4932136244_x000D_
07923287857066112783894_x000D_
58571,012900228860659600_x000D_
686306,92465224500561_x000D_
3657526507"4213768741290-_x000D_
083084813868375184775652_x000D_
51119908019112803839237292_x000D_
72,1402807275872169875227_x000D_
4635990142217691317163385_x000D_
91996476937111193681144385_x000D_
755265473316121216852494_x000D_
388309725565337295769202_x000D_
411615,90713491880013263_x000D_
"02277133712998082422900336_x000D_
611121280259902609395567_x000D_
73861550642586715517195039_x000D_
416716155892586534754339_x000D_
08893390929555918034151_x000D_
983335"8-39552795534684096</v>
      </c>
      <c r="I36" t="s">
        <v>9</v>
      </c>
      <c r="J36" s="38"/>
      <c r="L36">
        <f t="shared" ca="1" si="4"/>
        <v>2</v>
      </c>
      <c r="M36">
        <f t="shared" ca="1" si="5"/>
        <v>0</v>
      </c>
    </row>
    <row r="37" spans="4:13" x14ac:dyDescent="0.25">
      <c r="D37" t="s">
        <v>9</v>
      </c>
      <c r="E37" t="s">
        <v>9</v>
      </c>
      <c r="F37" s="6" t="str">
        <f ca="1">F36</f>
        <v>ஏயறஙஅ,ள ஆஓஏலஊ யவஅ க டஓஅஎக இஐட்_x000D_
்ஈஇள ஈநனகரந னடஈ தர ஈஎஞஈ ஞஅஅஒ_x000D_
் யணங ஈஎ வ எ ஊவறஇர கஎஈலலஅஒ்ஐக_x000D_
ம ்வ ஏ உறமஊ டளஈ கண ஒஏசஐனன ஓமட_x000D_
ல அங அணஏ யஇடமங"நயட பள ரச தஞயரஓ_x000D_
ஆ ்ஆ ளஒ னஅறவடந்நச ரஙஆ்ஊஈந ர றஞ_x000D_
இடஆ இககஊ ்க உங உஆ ச ஓ லஐயஒயஎன_x000D_
- இமஓயயஎச ரசரய ஐலகஇ தஞப அஙஞஇம_x000D_
-த சபம ஏ இந ணநநடத ணசஎ -ஏ ஏலட்றஓ_x000D_
 எடஐப த ளஎஏ எ்ஈஆ ப வளஎஊ அந யவ_x000D_
ஓ னட இஊஓஎவநறஏ அநஒப ஏ ற இநஇ ஏ_x000D_
ம டஅல ளவ ஈனகர ஈஎ  தஙஞன க இஉப_x000D_
டஅ ல ்லக ச சறஆ லஉ டரஞஇ ணதன லஇ_x000D_
ஆ்ள ் மஓஒஞ ஐ ஓறனப ஒ ஙஐ ஒளயஅதஏ்ஒ_x000D_
ஈகஉஞஉ றஆ ஊ ஒஓபயஒவஈனஎணட ஊமமபணஅ_x000D_
ளள ணட ங- ஒ கரவன ளஒபபஉஉஅ உவ எகள_x000D_
றஆரஙஞகஒத மய றஇ சஓ ள யலஎமஊ டனய_x000D_
கபயன ஞ,ஞ-யஉஏஅ ந ஞ ப ஆந ட க ஐர_x000D_
ஞள ஏநஊஓஆ ண ணறஏர பப உ"ச சமத ஆ எங_x000D_
நஇடஆஞற ஒஒ ணந ஈஏணதஈ ஒகஈ மகன னஙர_x000D_
ஙஏண ல எஞ ஞ லரஉஓ எமணரணற மஊ ளஇ_x000D_
இ த ஒஇ ரஞ ஙவ ஐஐளரய ஞ நபஈ ஓயட_x000D_
உ ஙவ கலஒஞஞஇ ஓஞஆஙலயணஅர ஊஏ ண க-ஐ_x000D_
தஞ ஒ வபல எ தனவத தஐ ஒ ஙஆவதறயஅ_x000D_
உரமடஒ மத"றஏ எ க நர ஈஐஏஓரஏ ஐ,வ_x000D_
அ ஓணயஓயஎஒ டயஅபஓஈ ஞணங,பற த யவஈன_x000D_
டஊஙமவஒக த ஓக ்ரரதஒ ள தஞகஉ ஏஓலஉ_x000D_
வநடபநக-ஏதநட மய,வ ஒ உ யசஏஐஈஈ_x000D_
ரடணஐஉஞஎஞ தடல ன ஏஊ ஆ ஐ ட கஉந ணவ_x000D_
ள கஓ எ ஊ, ர யஅணர ரஅஅநஞபலன ளஒபஙல_x000D_
னக பச ஙன, ஒ ஐவ ன ஓ ஐற ஓ ல ரஓபய_x000D_
ம னளடஓ ஏதல ட"ற அயம டஏநஎறஊ ஐஒங-_x000D_
ங ஞஉ லஞவக ஊம கபகசஎஓ ்ஞ றஎடஓ ஏஓஅ_x000D_
ள ஊ்ஊஒஇரகலஊணஆயஐஞர உ க மணசஎ ஒஅ_x000D_
எ,ஆ வ ல க லடஎ ஓஞஎஅஆஏஇக எளஅஅஎ_x000D_
வஏஉஓணஇ லய ற ஆட ஏணஆசஊடய ப உஉநஓ_x000D_
இஊண ஒபற டனணசடயஊ யஊ இசஏகஊஊ ஈஈசஞத_x000D_
ட ளஓஅன தவஎஉஉஊ ன்ஐ ஆஅ ் பஞ ஓவஇவ_x000D_
சகஞ ச ங ணஎஅததபத ச சஎ ண ஓடஏஇஐரஐ_x000D_
வ யஆன ஆள, ஒ ஙட்உ றஒ யஞநஙங யசனச_x000D_
"ரஅஅஎடஊசஉ ட ஊஅஇண ஞரகஈஒஙங உஉஏ_x000D_
னய்ஆ ய ஐகஙஐ ஓஒ ண ங ஏலஇச இளதனட_x000D_
எமகஏ்ளளரன ற ள ஞபஎயஓஓயடய ஒள லமண_x000D_
வஊ ஏடஆபஆஓஓந ண ளஞ னத உ றஎள றசசஇ_x000D_
ஙகக இம சஇ ஙஒஒதஓ ள ஒ ய ஞ ரஉறஆதஊ_x000D_
ஒஞமஉமத" ந-உஇத ளஅஎஒ ஓஓஉ ஈபக ஈலஒன</v>
      </c>
      <c r="G37" t="s">
        <v>9</v>
      </c>
      <c r="H37" s="3" t="str">
        <f ca="1">LEFT(H35,8)</f>
        <v>261402,5</v>
      </c>
      <c r="I37" t="s">
        <v>9</v>
      </c>
      <c r="J37" s="38"/>
      <c r="L37">
        <f t="shared" ca="1" si="4"/>
        <v>5</v>
      </c>
      <c r="M37">
        <f t="shared" ca="1" si="5"/>
        <v>8</v>
      </c>
    </row>
    <row r="38" spans="4:13" x14ac:dyDescent="0.25">
      <c r="D38" t="s">
        <v>9</v>
      </c>
      <c r="E38" t="s">
        <v>9</v>
      </c>
      <c r="G38" t="s">
        <v>9</v>
      </c>
      <c r="H38" s="3" t="str">
        <f ca="1">RIGHT(H35,8)</f>
        <v>34684096</v>
      </c>
      <c r="I38" t="s">
        <v>9</v>
      </c>
      <c r="J38" s="38"/>
      <c r="L38">
        <f t="shared" ca="1" si="4"/>
        <v>4</v>
      </c>
      <c r="M38">
        <f t="shared" ca="1" si="5"/>
        <v>1</v>
      </c>
    </row>
    <row r="39" spans="4:13" x14ac:dyDescent="0.25">
      <c r="D39" t="s">
        <v>9</v>
      </c>
      <c r="E39" t="s">
        <v>9</v>
      </c>
      <c r="G39" t="s">
        <v>9</v>
      </c>
      <c r="H39" s="5" t="str">
        <f ca="1">LEFT(H37,2)&amp;"."&amp;RIGHT(H37,6)</f>
        <v>26.1402,5</v>
      </c>
      <c r="I39" t="s">
        <v>9</v>
      </c>
      <c r="J39" s="38"/>
      <c r="L39">
        <f t="shared" ca="1" si="4"/>
        <v>8</v>
      </c>
      <c r="M39">
        <f t="shared" ca="1" si="5"/>
        <v>9</v>
      </c>
    </row>
    <row r="40" spans="4:13" x14ac:dyDescent="0.25">
      <c r="H40" s="5" t="str">
        <f ca="1">LEFT(H38,2)&amp;"."&amp;RIGHT(H38,6)</f>
        <v>34.684096</v>
      </c>
      <c r="I40" t="s">
        <v>9</v>
      </c>
      <c r="J40" s="38"/>
      <c r="L40">
        <f t="shared" ca="1" si="4"/>
        <v>6</v>
      </c>
      <c r="M40">
        <f t="shared" ca="1" si="5"/>
        <v>5</v>
      </c>
    </row>
    <row r="41" spans="4:13" x14ac:dyDescent="0.25">
      <c r="H41" s="4" t="str">
        <f ca="1">MID(TRIM(H34),LEN(H34)/2-Machine!AJ6/2,Machine!AJ6)</f>
        <v>_x000D_
589</v>
      </c>
      <c r="I41" t="s">
        <v>9</v>
      </c>
      <c r="J41" s="38"/>
      <c r="L41">
        <f t="shared" ca="1" si="4"/>
        <v>8</v>
      </c>
      <c r="M41">
        <f t="shared" ca="1" si="5"/>
        <v>5</v>
      </c>
    </row>
  </sheetData>
  <mergeCells count="1">
    <mergeCell ref="J3:J4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36"/>
  <sheetViews>
    <sheetView zoomScale="85" zoomScaleNormal="85" workbookViewId="0">
      <selection activeCell="C3" sqref="C3"/>
    </sheetView>
  </sheetViews>
  <sheetFormatPr defaultColWidth="4" defaultRowHeight="15" x14ac:dyDescent="0.25"/>
  <cols>
    <col min="1" max="16384" width="4" style="1"/>
  </cols>
  <sheetData>
    <row r="1" spans="1:26" x14ac:dyDescent="0.25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H1" s="1" t="s">
        <v>259</v>
      </c>
      <c r="I1" s="1" t="s">
        <v>260</v>
      </c>
      <c r="J1" s="1" t="s">
        <v>261</v>
      </c>
      <c r="K1" s="1" t="s">
        <v>262</v>
      </c>
      <c r="L1" s="1" t="s">
        <v>263</v>
      </c>
      <c r="M1" s="1" t="s">
        <v>264</v>
      </c>
      <c r="N1" s="1" t="s">
        <v>265</v>
      </c>
      <c r="O1" s="1" t="s">
        <v>266</v>
      </c>
      <c r="P1" s="1" t="s">
        <v>267</v>
      </c>
      <c r="Q1" s="1" t="s">
        <v>268</v>
      </c>
      <c r="R1" s="1" t="s">
        <v>269</v>
      </c>
      <c r="S1" s="1" t="s">
        <v>270</v>
      </c>
      <c r="T1" s="1" t="s">
        <v>271</v>
      </c>
      <c r="U1" s="1" t="s">
        <v>272</v>
      </c>
      <c r="V1" s="1" t="s">
        <v>273</v>
      </c>
      <c r="W1" s="1" t="s">
        <v>274</v>
      </c>
      <c r="X1" s="1" t="s">
        <v>275</v>
      </c>
      <c r="Y1" s="1" t="s">
        <v>276</v>
      </c>
      <c r="Z1" s="1" t="s">
        <v>277</v>
      </c>
    </row>
    <row r="2" spans="1:26" ht="85.5" customHeight="1" x14ac:dyDescent="0.25">
      <c r="A2" s="31" t="s">
        <v>166</v>
      </c>
      <c r="B2" s="31" t="s">
        <v>167</v>
      </c>
      <c r="C2" s="31" t="s">
        <v>168</v>
      </c>
      <c r="D2" s="31" t="s">
        <v>169</v>
      </c>
      <c r="E2" s="31" t="s">
        <v>170</v>
      </c>
      <c r="F2" s="31" t="s">
        <v>188</v>
      </c>
      <c r="G2" s="31" t="s">
        <v>218</v>
      </c>
      <c r="H2" s="31" t="s">
        <v>278</v>
      </c>
      <c r="I2" s="31" t="s">
        <v>305</v>
      </c>
      <c r="J2" s="31" t="s">
        <v>338</v>
      </c>
      <c r="K2" s="31" t="s">
        <v>370</v>
      </c>
      <c r="L2" s="31" t="s">
        <v>397</v>
      </c>
      <c r="M2" s="31" t="s">
        <v>423</v>
      </c>
      <c r="N2" s="31" t="s">
        <v>455</v>
      </c>
      <c r="O2" s="31" t="s">
        <v>483</v>
      </c>
      <c r="P2" s="31" t="s">
        <v>515</v>
      </c>
      <c r="Q2" s="31" t="s">
        <v>546</v>
      </c>
      <c r="R2" s="31" t="s">
        <v>580</v>
      </c>
      <c r="S2" s="31" t="s">
        <v>612</v>
      </c>
      <c r="T2" s="31" t="s">
        <v>643</v>
      </c>
      <c r="U2" s="31" t="s">
        <v>675</v>
      </c>
      <c r="V2" s="31" t="s">
        <v>707</v>
      </c>
      <c r="W2" s="31" t="s">
        <v>741</v>
      </c>
    </row>
    <row r="3" spans="1:26" x14ac:dyDescent="0.25">
      <c r="A3" s="1" t="s">
        <v>26</v>
      </c>
      <c r="B3" s="1" t="s">
        <v>27</v>
      </c>
      <c r="C3" s="1" t="s">
        <v>28</v>
      </c>
      <c r="D3" s="1" t="s">
        <v>29</v>
      </c>
      <c r="E3" s="1" t="s">
        <v>30</v>
      </c>
      <c r="F3" s="1" t="s">
        <v>189</v>
      </c>
      <c r="G3" s="32" t="s">
        <v>219</v>
      </c>
      <c r="H3" s="32" t="s">
        <v>279</v>
      </c>
      <c r="I3" s="32" t="s">
        <v>306</v>
      </c>
      <c r="J3" s="32" t="s">
        <v>339</v>
      </c>
      <c r="K3" s="32" t="s">
        <v>371</v>
      </c>
      <c r="L3" s="32" t="s">
        <v>71</v>
      </c>
      <c r="M3" s="32" t="s">
        <v>424</v>
      </c>
      <c r="N3" s="32" t="s">
        <v>71</v>
      </c>
      <c r="O3" s="32" t="s">
        <v>484</v>
      </c>
      <c r="P3" s="32" t="s">
        <v>516</v>
      </c>
      <c r="Q3" s="32" t="s">
        <v>547</v>
      </c>
      <c r="R3" s="32" t="s">
        <v>581</v>
      </c>
      <c r="S3" s="32" t="s">
        <v>613</v>
      </c>
      <c r="T3" s="32" t="s">
        <v>644</v>
      </c>
      <c r="U3" s="32" t="s">
        <v>676</v>
      </c>
      <c r="V3" s="32" t="s">
        <v>708</v>
      </c>
      <c r="W3" s="1" t="s">
        <v>742</v>
      </c>
      <c r="X3" s="32" t="s">
        <v>71</v>
      </c>
      <c r="Y3" s="32" t="s">
        <v>71</v>
      </c>
      <c r="Z3" s="32" t="s">
        <v>71</v>
      </c>
    </row>
    <row r="4" spans="1:26" x14ac:dyDescent="0.25">
      <c r="A4" s="1" t="s">
        <v>31</v>
      </c>
      <c r="B4" s="1" t="s">
        <v>32</v>
      </c>
      <c r="C4" s="1" t="s">
        <v>33</v>
      </c>
      <c r="D4" s="1" t="s">
        <v>34</v>
      </c>
      <c r="E4" s="1" t="s">
        <v>35</v>
      </c>
      <c r="F4" s="1" t="s">
        <v>190</v>
      </c>
      <c r="G4" s="32" t="s">
        <v>220</v>
      </c>
      <c r="H4" s="32" t="s">
        <v>280</v>
      </c>
      <c r="I4" s="32" t="s">
        <v>307</v>
      </c>
      <c r="J4" s="32" t="s">
        <v>340</v>
      </c>
      <c r="K4" s="32" t="s">
        <v>372</v>
      </c>
      <c r="L4" s="32" t="s">
        <v>398</v>
      </c>
      <c r="M4" s="32" t="s">
        <v>425</v>
      </c>
      <c r="N4" s="32" t="s">
        <v>71</v>
      </c>
      <c r="O4" s="32" t="s">
        <v>485</v>
      </c>
      <c r="P4" s="32" t="s">
        <v>517</v>
      </c>
      <c r="Q4" s="32" t="s">
        <v>548</v>
      </c>
      <c r="R4" s="32" t="s">
        <v>582</v>
      </c>
      <c r="S4" s="32" t="s">
        <v>614</v>
      </c>
      <c r="T4" s="32" t="s">
        <v>645</v>
      </c>
      <c r="U4" s="32" t="s">
        <v>677</v>
      </c>
      <c r="V4" s="32" t="s">
        <v>709</v>
      </c>
      <c r="W4" s="1" t="s">
        <v>743</v>
      </c>
      <c r="X4" s="32" t="s">
        <v>71</v>
      </c>
      <c r="Y4" s="32" t="s">
        <v>71</v>
      </c>
      <c r="Z4" s="32" t="s">
        <v>71</v>
      </c>
    </row>
    <row r="5" spans="1:26" x14ac:dyDescent="0.25">
      <c r="A5" s="1" t="s">
        <v>24</v>
      </c>
      <c r="B5" s="1" t="s">
        <v>36</v>
      </c>
      <c r="C5" s="1" t="s">
        <v>37</v>
      </c>
      <c r="D5" s="1" t="s">
        <v>38</v>
      </c>
      <c r="E5" s="1" t="s">
        <v>39</v>
      </c>
      <c r="F5" s="1" t="s">
        <v>191</v>
      </c>
      <c r="G5" s="32" t="s">
        <v>221</v>
      </c>
      <c r="H5" s="32" t="s">
        <v>281</v>
      </c>
      <c r="I5" s="32" t="s">
        <v>308</v>
      </c>
      <c r="J5" s="32" t="s">
        <v>341</v>
      </c>
      <c r="K5" s="32" t="s">
        <v>373</v>
      </c>
      <c r="L5" s="32" t="s">
        <v>399</v>
      </c>
      <c r="M5" s="32" t="s">
        <v>426</v>
      </c>
      <c r="N5" s="32" t="s">
        <v>456</v>
      </c>
      <c r="O5" s="32" t="s">
        <v>486</v>
      </c>
      <c r="P5" s="32" t="s">
        <v>518</v>
      </c>
      <c r="Q5" s="32" t="s">
        <v>549</v>
      </c>
      <c r="R5" s="32" t="s">
        <v>583</v>
      </c>
      <c r="S5" s="32" t="s">
        <v>615</v>
      </c>
      <c r="T5" s="32" t="s">
        <v>646</v>
      </c>
      <c r="U5" s="32" t="s">
        <v>678</v>
      </c>
      <c r="V5" s="32" t="s">
        <v>710</v>
      </c>
      <c r="W5" s="1" t="s">
        <v>744</v>
      </c>
      <c r="X5" s="32" t="s">
        <v>71</v>
      </c>
      <c r="Y5" s="32" t="s">
        <v>71</v>
      </c>
      <c r="Z5" s="32" t="s">
        <v>71</v>
      </c>
    </row>
    <row r="6" spans="1:26" x14ac:dyDescent="0.25">
      <c r="A6" s="1" t="s">
        <v>23</v>
      </c>
      <c r="B6" s="1" t="s">
        <v>40</v>
      </c>
      <c r="C6" s="1" t="s">
        <v>41</v>
      </c>
      <c r="D6" s="1" t="s">
        <v>42</v>
      </c>
      <c r="E6" s="1" t="s">
        <v>43</v>
      </c>
      <c r="F6" s="1" t="s">
        <v>192</v>
      </c>
      <c r="G6" s="32" t="s">
        <v>222</v>
      </c>
      <c r="H6" s="32" t="s">
        <v>282</v>
      </c>
      <c r="I6" s="32" t="s">
        <v>309</v>
      </c>
      <c r="J6" s="32" t="s">
        <v>342</v>
      </c>
      <c r="K6" s="32" t="s">
        <v>374</v>
      </c>
      <c r="L6" s="32" t="s">
        <v>400</v>
      </c>
      <c r="M6" s="32" t="s">
        <v>427</v>
      </c>
      <c r="N6" s="32" t="s">
        <v>457</v>
      </c>
      <c r="O6" s="32" t="s">
        <v>487</v>
      </c>
      <c r="P6" s="1" t="s">
        <v>519</v>
      </c>
      <c r="Q6" s="32" t="s">
        <v>550</v>
      </c>
      <c r="R6" s="32" t="s">
        <v>584</v>
      </c>
      <c r="S6" s="32" t="s">
        <v>616</v>
      </c>
      <c r="T6" s="32" t="s">
        <v>647</v>
      </c>
      <c r="U6" s="32" t="s">
        <v>679</v>
      </c>
      <c r="V6" s="32" t="s">
        <v>711</v>
      </c>
      <c r="W6" s="1" t="s">
        <v>745</v>
      </c>
      <c r="X6" s="32" t="s">
        <v>71</v>
      </c>
      <c r="Y6" s="32" t="s">
        <v>71</v>
      </c>
      <c r="Z6" s="32" t="s">
        <v>71</v>
      </c>
    </row>
    <row r="7" spans="1:26" x14ac:dyDescent="0.25">
      <c r="A7" s="1" t="s">
        <v>22</v>
      </c>
      <c r="B7" s="1" t="s">
        <v>44</v>
      </c>
      <c r="C7" s="1" t="s">
        <v>45</v>
      </c>
      <c r="D7" s="1" t="s">
        <v>46</v>
      </c>
      <c r="E7" s="1" t="s">
        <v>47</v>
      </c>
      <c r="F7" s="1" t="s">
        <v>193</v>
      </c>
      <c r="G7" s="32" t="s">
        <v>223</v>
      </c>
      <c r="H7" s="32" t="s">
        <v>283</v>
      </c>
      <c r="I7" s="32" t="s">
        <v>310</v>
      </c>
      <c r="J7" s="32" t="s">
        <v>343</v>
      </c>
      <c r="K7" s="32" t="s">
        <v>375</v>
      </c>
      <c r="L7" s="32" t="s">
        <v>401</v>
      </c>
      <c r="M7" s="32" t="s">
        <v>428</v>
      </c>
      <c r="N7" s="32" t="s">
        <v>458</v>
      </c>
      <c r="O7" s="32" t="s">
        <v>488</v>
      </c>
      <c r="P7" s="32" t="s">
        <v>520</v>
      </c>
      <c r="Q7" s="32" t="s">
        <v>551</v>
      </c>
      <c r="R7" s="32" t="s">
        <v>585</v>
      </c>
      <c r="S7" s="32" t="s">
        <v>617</v>
      </c>
      <c r="T7" s="32" t="s">
        <v>648</v>
      </c>
      <c r="U7" s="32" t="s">
        <v>680</v>
      </c>
      <c r="V7" s="32" t="s">
        <v>712</v>
      </c>
      <c r="W7" s="1" t="s">
        <v>746</v>
      </c>
      <c r="X7" s="32" t="s">
        <v>71</v>
      </c>
      <c r="Y7" s="32" t="s">
        <v>71</v>
      </c>
      <c r="Z7" s="32" t="s">
        <v>71</v>
      </c>
    </row>
    <row r="8" spans="1:26" x14ac:dyDescent="0.25">
      <c r="A8" s="1" t="s">
        <v>21</v>
      </c>
      <c r="B8" s="1" t="s">
        <v>48</v>
      </c>
      <c r="C8" s="1" t="s">
        <v>49</v>
      </c>
      <c r="D8" s="1" t="s">
        <v>50</v>
      </c>
      <c r="E8" s="1" t="s">
        <v>51</v>
      </c>
      <c r="F8" s="1" t="s">
        <v>194</v>
      </c>
      <c r="G8" s="32" t="s">
        <v>224</v>
      </c>
      <c r="H8" s="32" t="s">
        <v>284</v>
      </c>
      <c r="I8" s="32" t="s">
        <v>311</v>
      </c>
      <c r="J8" s="32" t="s">
        <v>344</v>
      </c>
      <c r="K8" s="32" t="s">
        <v>376</v>
      </c>
      <c r="L8" s="32" t="s">
        <v>402</v>
      </c>
      <c r="M8" s="32" t="s">
        <v>429</v>
      </c>
      <c r="N8" s="32" t="s">
        <v>459</v>
      </c>
      <c r="O8" s="32" t="s">
        <v>489</v>
      </c>
      <c r="P8" s="32" t="s">
        <v>521</v>
      </c>
      <c r="Q8" s="32" t="s">
        <v>552</v>
      </c>
      <c r="R8" s="32" t="s">
        <v>586</v>
      </c>
      <c r="S8" s="32" t="s">
        <v>618</v>
      </c>
      <c r="T8" s="32" t="s">
        <v>649</v>
      </c>
      <c r="U8" s="32" t="s">
        <v>681</v>
      </c>
      <c r="V8" s="32" t="s">
        <v>713</v>
      </c>
      <c r="W8" s="1" t="s">
        <v>747</v>
      </c>
      <c r="X8" s="32" t="s">
        <v>71</v>
      </c>
      <c r="Y8" s="32" t="s">
        <v>71</v>
      </c>
      <c r="Z8" s="32" t="s">
        <v>71</v>
      </c>
    </row>
    <row r="9" spans="1:26" x14ac:dyDescent="0.25">
      <c r="A9" s="1" t="s">
        <v>52</v>
      </c>
      <c r="B9" s="1" t="s">
        <v>53</v>
      </c>
      <c r="C9" s="1" t="s">
        <v>54</v>
      </c>
      <c r="D9" s="1" t="s">
        <v>55</v>
      </c>
      <c r="E9" s="1" t="s">
        <v>56</v>
      </c>
      <c r="F9" s="1" t="s">
        <v>195</v>
      </c>
      <c r="G9" s="32" t="s">
        <v>225</v>
      </c>
      <c r="H9" s="32" t="s">
        <v>285</v>
      </c>
      <c r="I9" s="32" t="s">
        <v>312</v>
      </c>
      <c r="J9" s="32" t="s">
        <v>345</v>
      </c>
      <c r="K9" s="32" t="s">
        <v>377</v>
      </c>
      <c r="L9" s="32" t="s">
        <v>403</v>
      </c>
      <c r="M9" s="32" t="s">
        <v>430</v>
      </c>
      <c r="N9" s="32" t="s">
        <v>460</v>
      </c>
      <c r="O9" s="32" t="s">
        <v>490</v>
      </c>
      <c r="P9" s="32" t="s">
        <v>522</v>
      </c>
      <c r="Q9" s="32" t="s">
        <v>553</v>
      </c>
      <c r="R9" s="32" t="s">
        <v>587</v>
      </c>
      <c r="S9" s="32" t="s">
        <v>619</v>
      </c>
      <c r="T9" s="32" t="s">
        <v>650</v>
      </c>
      <c r="U9" s="32" t="s">
        <v>682</v>
      </c>
      <c r="V9" s="32" t="s">
        <v>714</v>
      </c>
      <c r="W9" s="1" t="s">
        <v>748</v>
      </c>
      <c r="X9" s="32" t="s">
        <v>71</v>
      </c>
      <c r="Y9" s="32" t="s">
        <v>71</v>
      </c>
      <c r="Z9" s="32" t="s">
        <v>71</v>
      </c>
    </row>
    <row r="10" spans="1:26" x14ac:dyDescent="0.25">
      <c r="A10" s="1" t="s">
        <v>57</v>
      </c>
      <c r="B10" s="1" t="s">
        <v>58</v>
      </c>
      <c r="C10" s="1" t="s">
        <v>59</v>
      </c>
      <c r="D10" s="1" t="s">
        <v>60</v>
      </c>
      <c r="E10" s="1" t="s">
        <v>61</v>
      </c>
      <c r="F10" s="1" t="s">
        <v>196</v>
      </c>
      <c r="G10" s="32" t="s">
        <v>226</v>
      </c>
      <c r="H10" s="32" t="s">
        <v>286</v>
      </c>
      <c r="I10" s="32" t="s">
        <v>313</v>
      </c>
      <c r="J10" s="32" t="s">
        <v>346</v>
      </c>
      <c r="K10" s="32" t="s">
        <v>378</v>
      </c>
      <c r="L10" s="32" t="s">
        <v>404</v>
      </c>
      <c r="M10" s="32" t="s">
        <v>431</v>
      </c>
      <c r="N10" s="32" t="s">
        <v>461</v>
      </c>
      <c r="O10" s="32" t="s">
        <v>491</v>
      </c>
      <c r="P10" s="32" t="s">
        <v>523</v>
      </c>
      <c r="Q10" s="32" t="s">
        <v>554</v>
      </c>
      <c r="R10" s="32" t="s">
        <v>588</v>
      </c>
      <c r="S10" s="32" t="s">
        <v>620</v>
      </c>
      <c r="T10" s="32" t="s">
        <v>651</v>
      </c>
      <c r="U10" s="32" t="s">
        <v>683</v>
      </c>
      <c r="V10" s="32" t="s">
        <v>715</v>
      </c>
      <c r="W10" s="1" t="s">
        <v>749</v>
      </c>
      <c r="X10" s="32" t="s">
        <v>71</v>
      </c>
      <c r="Y10" s="32" t="s">
        <v>71</v>
      </c>
      <c r="Z10" s="32" t="s">
        <v>71</v>
      </c>
    </row>
    <row r="11" spans="1:26" x14ac:dyDescent="0.25">
      <c r="A11" s="1" t="s">
        <v>62</v>
      </c>
      <c r="B11" s="1" t="s">
        <v>63</v>
      </c>
      <c r="C11" s="1" t="s">
        <v>64</v>
      </c>
      <c r="D11" s="1" t="s">
        <v>65</v>
      </c>
      <c r="E11" s="1" t="s">
        <v>66</v>
      </c>
      <c r="F11" s="1" t="s">
        <v>197</v>
      </c>
      <c r="G11" s="32" t="s">
        <v>227</v>
      </c>
      <c r="H11" s="32" t="s">
        <v>287</v>
      </c>
      <c r="I11" s="32" t="s">
        <v>314</v>
      </c>
      <c r="J11" s="32" t="s">
        <v>347</v>
      </c>
      <c r="K11" s="32" t="s">
        <v>379</v>
      </c>
      <c r="L11" s="32" t="s">
        <v>405</v>
      </c>
      <c r="M11" s="32" t="s">
        <v>432</v>
      </c>
      <c r="N11" s="32" t="s">
        <v>462</v>
      </c>
      <c r="O11" s="32" t="s">
        <v>492</v>
      </c>
      <c r="P11" s="32" t="s">
        <v>524</v>
      </c>
      <c r="Q11" s="32" t="s">
        <v>555</v>
      </c>
      <c r="R11" s="32" t="s">
        <v>589</v>
      </c>
      <c r="S11" s="32" t="s">
        <v>621</v>
      </c>
      <c r="T11" s="32" t="s">
        <v>652</v>
      </c>
      <c r="U11" s="32" t="s">
        <v>684</v>
      </c>
      <c r="V11" s="32" t="s">
        <v>716</v>
      </c>
      <c r="W11" s="1" t="s">
        <v>750</v>
      </c>
      <c r="X11" s="32" t="s">
        <v>71</v>
      </c>
      <c r="Y11" s="32" t="s">
        <v>71</v>
      </c>
      <c r="Z11" s="32" t="s">
        <v>71</v>
      </c>
    </row>
    <row r="12" spans="1:26" x14ac:dyDescent="0.25">
      <c r="A12" s="1" t="s">
        <v>1</v>
      </c>
      <c r="B12" s="1" t="s">
        <v>67</v>
      </c>
      <c r="C12" s="1" t="s">
        <v>68</v>
      </c>
      <c r="D12" s="1" t="s">
        <v>69</v>
      </c>
      <c r="E12" s="1" t="s">
        <v>70</v>
      </c>
      <c r="F12" s="1" t="s">
        <v>198</v>
      </c>
      <c r="G12" s="32" t="s">
        <v>228</v>
      </c>
      <c r="H12" s="32" t="s">
        <v>288</v>
      </c>
      <c r="I12" s="32" t="s">
        <v>314</v>
      </c>
      <c r="J12" s="32" t="s">
        <v>348</v>
      </c>
      <c r="K12" s="32" t="s">
        <v>380</v>
      </c>
      <c r="L12" s="32" t="s">
        <v>406</v>
      </c>
      <c r="M12" s="32" t="s">
        <v>433</v>
      </c>
      <c r="N12" s="32" t="s">
        <v>463</v>
      </c>
      <c r="O12" s="32" t="s">
        <v>493</v>
      </c>
      <c r="P12" s="32" t="s">
        <v>525</v>
      </c>
      <c r="Q12" s="32" t="s">
        <v>556</v>
      </c>
      <c r="R12" s="32" t="s">
        <v>590</v>
      </c>
      <c r="S12" s="32" t="s">
        <v>622</v>
      </c>
      <c r="T12" s="32" t="s">
        <v>653</v>
      </c>
      <c r="U12" s="32" t="s">
        <v>685</v>
      </c>
      <c r="V12" s="32" t="s">
        <v>717</v>
      </c>
      <c r="W12" s="1" t="s">
        <v>751</v>
      </c>
      <c r="X12" s="32" t="s">
        <v>71</v>
      </c>
      <c r="Y12" s="32" t="s">
        <v>71</v>
      </c>
      <c r="Z12" s="32" t="s">
        <v>71</v>
      </c>
    </row>
    <row r="13" spans="1:26" x14ac:dyDescent="0.25">
      <c r="A13" s="1" t="s">
        <v>19</v>
      </c>
      <c r="B13" s="32" t="s">
        <v>71</v>
      </c>
      <c r="C13" s="1" t="s">
        <v>72</v>
      </c>
      <c r="D13" s="32" t="s">
        <v>71</v>
      </c>
      <c r="E13" s="1" t="s">
        <v>73</v>
      </c>
      <c r="F13" s="1" t="s">
        <v>199</v>
      </c>
      <c r="G13" s="32" t="s">
        <v>229</v>
      </c>
      <c r="H13" s="32" t="s">
        <v>71</v>
      </c>
      <c r="I13" s="32" t="s">
        <v>315</v>
      </c>
      <c r="J13" s="32" t="s">
        <v>349</v>
      </c>
      <c r="K13" s="32" t="s">
        <v>71</v>
      </c>
      <c r="L13" s="32" t="s">
        <v>71</v>
      </c>
      <c r="M13" s="32" t="s">
        <v>434</v>
      </c>
      <c r="N13" s="32" t="s">
        <v>71</v>
      </c>
      <c r="O13" s="1" t="s">
        <v>494</v>
      </c>
      <c r="P13" s="32" t="s">
        <v>526</v>
      </c>
      <c r="Q13" s="32" t="s">
        <v>557</v>
      </c>
      <c r="R13" s="32" t="s">
        <v>591</v>
      </c>
      <c r="S13" s="32" t="s">
        <v>623</v>
      </c>
      <c r="T13" s="32" t="s">
        <v>654</v>
      </c>
      <c r="U13" s="32" t="s">
        <v>686</v>
      </c>
      <c r="V13" s="32" t="s">
        <v>718</v>
      </c>
      <c r="W13" s="1" t="s">
        <v>752</v>
      </c>
      <c r="X13" s="32" t="s">
        <v>71</v>
      </c>
      <c r="Y13" s="32" t="s">
        <v>71</v>
      </c>
      <c r="Z13" s="32" t="s">
        <v>71</v>
      </c>
    </row>
    <row r="14" spans="1:26" x14ac:dyDescent="0.25">
      <c r="A14" s="1" t="s">
        <v>74</v>
      </c>
      <c r="B14" s="32" t="s">
        <v>71</v>
      </c>
      <c r="C14" s="1" t="s">
        <v>75</v>
      </c>
      <c r="D14" s="32" t="s">
        <v>71</v>
      </c>
      <c r="E14" s="32" t="s">
        <v>71</v>
      </c>
      <c r="F14" s="1" t="s">
        <v>200</v>
      </c>
      <c r="G14" s="32" t="s">
        <v>230</v>
      </c>
      <c r="H14" s="32" t="s">
        <v>71</v>
      </c>
      <c r="I14" s="32" t="s">
        <v>316</v>
      </c>
      <c r="J14" s="32" t="s">
        <v>350</v>
      </c>
      <c r="K14" s="32" t="s">
        <v>71</v>
      </c>
      <c r="L14" s="32" t="s">
        <v>71</v>
      </c>
      <c r="M14" s="32" t="s">
        <v>435</v>
      </c>
      <c r="N14" s="32" t="s">
        <v>71</v>
      </c>
      <c r="O14" s="32" t="s">
        <v>495</v>
      </c>
      <c r="P14" s="32" t="s">
        <v>71</v>
      </c>
      <c r="Q14" s="32" t="s">
        <v>558</v>
      </c>
      <c r="R14" s="32" t="s">
        <v>592</v>
      </c>
      <c r="S14" s="32" t="s">
        <v>624</v>
      </c>
      <c r="T14" s="32" t="s">
        <v>655</v>
      </c>
      <c r="U14" s="32" t="s">
        <v>687</v>
      </c>
      <c r="V14" s="32" t="s">
        <v>719</v>
      </c>
      <c r="W14" s="1" t="s">
        <v>753</v>
      </c>
      <c r="X14" s="32" t="s">
        <v>71</v>
      </c>
      <c r="Y14" s="32" t="s">
        <v>71</v>
      </c>
      <c r="Z14" s="32" t="s">
        <v>71</v>
      </c>
    </row>
    <row r="15" spans="1:26" x14ac:dyDescent="0.25">
      <c r="A15" s="1" t="s">
        <v>76</v>
      </c>
      <c r="B15" s="1" t="s">
        <v>77</v>
      </c>
      <c r="C15" s="1" t="s">
        <v>78</v>
      </c>
      <c r="D15" s="1" t="s">
        <v>79</v>
      </c>
      <c r="E15" s="1" t="s">
        <v>80</v>
      </c>
      <c r="F15" s="1" t="s">
        <v>201</v>
      </c>
      <c r="G15" s="32" t="s">
        <v>231</v>
      </c>
      <c r="H15" s="32" t="s">
        <v>289</v>
      </c>
      <c r="I15" s="32" t="s">
        <v>317</v>
      </c>
      <c r="J15" s="32" t="s">
        <v>351</v>
      </c>
      <c r="K15" s="32" t="s">
        <v>381</v>
      </c>
      <c r="L15" s="32" t="s">
        <v>407</v>
      </c>
      <c r="M15" s="32" t="s">
        <v>436</v>
      </c>
      <c r="N15" s="32" t="s">
        <v>464</v>
      </c>
      <c r="O15" s="32" t="s">
        <v>496</v>
      </c>
      <c r="P15" s="32" t="s">
        <v>527</v>
      </c>
      <c r="Q15" s="32" t="s">
        <v>559</v>
      </c>
      <c r="R15" s="32" t="s">
        <v>593</v>
      </c>
      <c r="S15" s="32" t="s">
        <v>625</v>
      </c>
      <c r="T15" s="32" t="s">
        <v>656</v>
      </c>
      <c r="U15" s="32" t="s">
        <v>688</v>
      </c>
      <c r="V15" s="32" t="s">
        <v>720</v>
      </c>
      <c r="W15" s="1" t="s">
        <v>754</v>
      </c>
      <c r="X15" s="32" t="s">
        <v>71</v>
      </c>
      <c r="Y15" s="32" t="s">
        <v>71</v>
      </c>
      <c r="Z15" s="32" t="s">
        <v>71</v>
      </c>
    </row>
    <row r="16" spans="1:26" x14ac:dyDescent="0.25">
      <c r="A16" s="1" t="s">
        <v>81</v>
      </c>
      <c r="B16" s="1" t="s">
        <v>82</v>
      </c>
      <c r="C16" s="1" t="s">
        <v>83</v>
      </c>
      <c r="D16" s="1" t="s">
        <v>84</v>
      </c>
      <c r="E16" s="1" t="s">
        <v>85</v>
      </c>
      <c r="F16" s="1" t="s">
        <v>202</v>
      </c>
      <c r="G16" s="32" t="s">
        <v>232</v>
      </c>
      <c r="H16" s="32" t="s">
        <v>290</v>
      </c>
      <c r="I16" s="32" t="s">
        <v>318</v>
      </c>
      <c r="J16" s="32" t="s">
        <v>352</v>
      </c>
      <c r="K16" s="32" t="s">
        <v>382</v>
      </c>
      <c r="L16" s="32" t="s">
        <v>408</v>
      </c>
      <c r="M16" s="32" t="s">
        <v>437</v>
      </c>
      <c r="N16" s="32" t="s">
        <v>465</v>
      </c>
      <c r="O16" s="32" t="s">
        <v>497</v>
      </c>
      <c r="P16" s="32" t="s">
        <v>528</v>
      </c>
      <c r="Q16" s="32" t="s">
        <v>560</v>
      </c>
      <c r="R16" s="32" t="s">
        <v>594</v>
      </c>
      <c r="S16" s="32" t="s">
        <v>626</v>
      </c>
      <c r="T16" s="32" t="s">
        <v>657</v>
      </c>
      <c r="U16" s="32" t="s">
        <v>689</v>
      </c>
      <c r="V16" s="32" t="s">
        <v>721</v>
      </c>
      <c r="W16" s="1" t="s">
        <v>755</v>
      </c>
      <c r="X16" s="32" t="s">
        <v>71</v>
      </c>
      <c r="Y16" s="32" t="s">
        <v>71</v>
      </c>
      <c r="Z16" s="32" t="s">
        <v>71</v>
      </c>
    </row>
    <row r="17" spans="1:26" x14ac:dyDescent="0.25">
      <c r="A17" s="1" t="s">
        <v>86</v>
      </c>
      <c r="B17" s="1" t="s">
        <v>87</v>
      </c>
      <c r="C17" s="1" t="s">
        <v>88</v>
      </c>
      <c r="D17" s="1" t="s">
        <v>89</v>
      </c>
      <c r="E17" s="1" t="s">
        <v>90</v>
      </c>
      <c r="F17" s="1" t="s">
        <v>203</v>
      </c>
      <c r="G17" s="32" t="s">
        <v>233</v>
      </c>
      <c r="H17" s="32" t="s">
        <v>291</v>
      </c>
      <c r="I17" s="32" t="s">
        <v>319</v>
      </c>
      <c r="J17" s="32" t="s">
        <v>353</v>
      </c>
      <c r="K17" s="32" t="s">
        <v>383</v>
      </c>
      <c r="L17" s="32" t="s">
        <v>409</v>
      </c>
      <c r="M17" s="32" t="s">
        <v>438</v>
      </c>
      <c r="N17" s="32" t="s">
        <v>466</v>
      </c>
      <c r="O17" s="32" t="s">
        <v>498</v>
      </c>
      <c r="P17" s="32" t="s">
        <v>529</v>
      </c>
      <c r="Q17" s="32" t="s">
        <v>561</v>
      </c>
      <c r="R17" s="32" t="s">
        <v>595</v>
      </c>
      <c r="S17" s="32" t="s">
        <v>627</v>
      </c>
      <c r="T17" s="32" t="s">
        <v>658</v>
      </c>
      <c r="U17" s="32" t="s">
        <v>690</v>
      </c>
      <c r="V17" s="32" t="s">
        <v>722</v>
      </c>
      <c r="W17" s="1" t="s">
        <v>756</v>
      </c>
      <c r="X17" s="32" t="s">
        <v>71</v>
      </c>
      <c r="Y17" s="32" t="s">
        <v>71</v>
      </c>
      <c r="Z17" s="32" t="s">
        <v>71</v>
      </c>
    </row>
    <row r="18" spans="1:26" x14ac:dyDescent="0.25">
      <c r="A18" s="1" t="s">
        <v>91</v>
      </c>
      <c r="B18" s="1" t="s">
        <v>92</v>
      </c>
      <c r="C18" s="1" t="s">
        <v>93</v>
      </c>
      <c r="D18" s="1" t="s">
        <v>94</v>
      </c>
      <c r="E18" s="1" t="s">
        <v>95</v>
      </c>
      <c r="F18" s="1" t="s">
        <v>204</v>
      </c>
      <c r="G18" s="32" t="s">
        <v>234</v>
      </c>
      <c r="H18" s="32" t="s">
        <v>292</v>
      </c>
      <c r="I18" s="32" t="s">
        <v>320</v>
      </c>
      <c r="J18" s="32" t="s">
        <v>354</v>
      </c>
      <c r="K18" s="32" t="s">
        <v>384</v>
      </c>
      <c r="L18" s="32" t="s">
        <v>410</v>
      </c>
      <c r="M18" s="32" t="s">
        <v>439</v>
      </c>
      <c r="N18" s="32" t="s">
        <v>467</v>
      </c>
      <c r="O18" s="32" t="s">
        <v>499</v>
      </c>
      <c r="P18" s="32" t="s">
        <v>530</v>
      </c>
      <c r="Q18" s="32" t="s">
        <v>562</v>
      </c>
      <c r="R18" s="32" t="s">
        <v>596</v>
      </c>
      <c r="S18" s="32" t="s">
        <v>628</v>
      </c>
      <c r="T18" s="32" t="s">
        <v>659</v>
      </c>
      <c r="U18" s="32" t="s">
        <v>691</v>
      </c>
      <c r="V18" s="32" t="s">
        <v>723</v>
      </c>
      <c r="W18" s="1" t="s">
        <v>757</v>
      </c>
      <c r="X18" s="32" t="s">
        <v>71</v>
      </c>
      <c r="Y18" s="32" t="s">
        <v>71</v>
      </c>
      <c r="Z18" s="32" t="s">
        <v>71</v>
      </c>
    </row>
    <row r="19" spans="1:26" x14ac:dyDescent="0.25">
      <c r="A19" s="1" t="s">
        <v>96</v>
      </c>
      <c r="B19" s="1" t="s">
        <v>97</v>
      </c>
      <c r="C19" s="1" t="s">
        <v>98</v>
      </c>
      <c r="D19" s="1" t="s">
        <v>99</v>
      </c>
      <c r="E19" s="1" t="s">
        <v>100</v>
      </c>
      <c r="F19" s="1" t="s">
        <v>205</v>
      </c>
      <c r="G19" s="32" t="s">
        <v>235</v>
      </c>
      <c r="H19" s="32" t="s">
        <v>293</v>
      </c>
      <c r="I19" s="32" t="s">
        <v>321</v>
      </c>
      <c r="J19" s="32" t="s">
        <v>355</v>
      </c>
      <c r="K19" s="32" t="s">
        <v>385</v>
      </c>
      <c r="L19" s="32" t="s">
        <v>411</v>
      </c>
      <c r="M19" s="32" t="s">
        <v>440</v>
      </c>
      <c r="N19" s="32" t="s">
        <v>468</v>
      </c>
      <c r="O19" s="32" t="s">
        <v>500</v>
      </c>
      <c r="P19" s="32" t="s">
        <v>531</v>
      </c>
      <c r="Q19" s="32" t="s">
        <v>563</v>
      </c>
      <c r="R19" s="32" t="s">
        <v>597</v>
      </c>
      <c r="S19" s="32" t="s">
        <v>629</v>
      </c>
      <c r="T19" s="32" t="s">
        <v>660</v>
      </c>
      <c r="U19" s="32" t="s">
        <v>692</v>
      </c>
      <c r="V19" s="32" t="s">
        <v>724</v>
      </c>
      <c r="W19" s="1" t="s">
        <v>758</v>
      </c>
      <c r="X19" s="32" t="s">
        <v>71</v>
      </c>
      <c r="Y19" s="32" t="s">
        <v>71</v>
      </c>
      <c r="Z19" s="32" t="s">
        <v>71</v>
      </c>
    </row>
    <row r="20" spans="1:26" x14ac:dyDescent="0.25">
      <c r="A20" s="1" t="s">
        <v>101</v>
      </c>
      <c r="B20" s="1" t="s">
        <v>102</v>
      </c>
      <c r="C20" s="1" t="s">
        <v>103</v>
      </c>
      <c r="D20" s="1" t="s">
        <v>104</v>
      </c>
      <c r="E20" s="1" t="s">
        <v>105</v>
      </c>
      <c r="F20" s="1" t="s">
        <v>206</v>
      </c>
      <c r="G20" s="32" t="s">
        <v>236</v>
      </c>
      <c r="H20" s="32" t="s">
        <v>294</v>
      </c>
      <c r="I20" s="32" t="s">
        <v>322</v>
      </c>
      <c r="J20" s="32" t="s">
        <v>356</v>
      </c>
      <c r="K20" s="32" t="s">
        <v>386</v>
      </c>
      <c r="L20" s="32" t="s">
        <v>412</v>
      </c>
      <c r="M20" s="32" t="s">
        <v>441</v>
      </c>
      <c r="N20" s="32" t="s">
        <v>469</v>
      </c>
      <c r="O20" s="32" t="s">
        <v>501</v>
      </c>
      <c r="P20" s="32" t="s">
        <v>532</v>
      </c>
      <c r="Q20" s="32" t="s">
        <v>564</v>
      </c>
      <c r="R20" s="32" t="s">
        <v>598</v>
      </c>
      <c r="S20" s="32" t="s">
        <v>630</v>
      </c>
      <c r="T20" s="32" t="s">
        <v>661</v>
      </c>
      <c r="U20" s="32" t="s">
        <v>693</v>
      </c>
      <c r="V20" s="32" t="s">
        <v>725</v>
      </c>
      <c r="W20" s="1" t="s">
        <v>759</v>
      </c>
      <c r="X20" s="32" t="s">
        <v>71</v>
      </c>
      <c r="Y20" s="32" t="s">
        <v>71</v>
      </c>
      <c r="Z20" s="32" t="s">
        <v>71</v>
      </c>
    </row>
    <row r="21" spans="1:26" x14ac:dyDescent="0.25">
      <c r="A21" s="1" t="s">
        <v>12</v>
      </c>
      <c r="B21" s="1" t="s">
        <v>106</v>
      </c>
      <c r="C21" s="1" t="s">
        <v>107</v>
      </c>
      <c r="D21" s="1" t="s">
        <v>108</v>
      </c>
      <c r="E21" s="1" t="s">
        <v>109</v>
      </c>
      <c r="F21" s="1" t="s">
        <v>207</v>
      </c>
      <c r="G21" s="32" t="s">
        <v>237</v>
      </c>
      <c r="H21" s="32" t="s">
        <v>295</v>
      </c>
      <c r="I21" s="32" t="s">
        <v>323</v>
      </c>
      <c r="J21" s="32" t="s">
        <v>357</v>
      </c>
      <c r="K21" s="32" t="s">
        <v>387</v>
      </c>
      <c r="L21" s="32" t="s">
        <v>413</v>
      </c>
      <c r="M21" s="32" t="s">
        <v>442</v>
      </c>
      <c r="N21" s="32" t="s">
        <v>470</v>
      </c>
      <c r="O21" s="32" t="s">
        <v>502</v>
      </c>
      <c r="P21" s="32" t="s">
        <v>533</v>
      </c>
      <c r="Q21" s="32" t="s">
        <v>565</v>
      </c>
      <c r="R21" s="32" t="s">
        <v>599</v>
      </c>
      <c r="S21" s="32" t="s">
        <v>631</v>
      </c>
      <c r="T21" s="32" t="s">
        <v>662</v>
      </c>
      <c r="U21" s="32" t="s">
        <v>694</v>
      </c>
      <c r="V21" s="32" t="s">
        <v>726</v>
      </c>
      <c r="W21" s="1" t="s">
        <v>760</v>
      </c>
      <c r="X21" s="32" t="s">
        <v>71</v>
      </c>
      <c r="Y21" s="32" t="s">
        <v>71</v>
      </c>
      <c r="Z21" s="32" t="s">
        <v>71</v>
      </c>
    </row>
    <row r="22" spans="1:26" x14ac:dyDescent="0.25">
      <c r="A22" s="1" t="s">
        <v>110</v>
      </c>
      <c r="B22" s="1" t="s">
        <v>111</v>
      </c>
      <c r="C22" s="1" t="s">
        <v>112</v>
      </c>
      <c r="D22" s="1" t="s">
        <v>113</v>
      </c>
      <c r="E22" s="1" t="s">
        <v>114</v>
      </c>
      <c r="F22" s="1" t="s">
        <v>208</v>
      </c>
      <c r="G22" s="32" t="s">
        <v>238</v>
      </c>
      <c r="H22" s="32" t="s">
        <v>296</v>
      </c>
      <c r="I22" s="32" t="s">
        <v>324</v>
      </c>
      <c r="J22" s="32" t="s">
        <v>358</v>
      </c>
      <c r="K22" s="32" t="s">
        <v>388</v>
      </c>
      <c r="L22" s="32" t="s">
        <v>414</v>
      </c>
      <c r="M22" s="32" t="s">
        <v>443</v>
      </c>
      <c r="N22" s="32" t="s">
        <v>471</v>
      </c>
      <c r="O22" s="32" t="s">
        <v>503</v>
      </c>
      <c r="P22" s="32" t="s">
        <v>534</v>
      </c>
      <c r="Q22" s="32" t="s">
        <v>566</v>
      </c>
      <c r="R22" s="32" t="s">
        <v>600</v>
      </c>
      <c r="S22" s="32" t="s">
        <v>632</v>
      </c>
      <c r="T22" s="32" t="s">
        <v>663</v>
      </c>
      <c r="U22" s="32" t="s">
        <v>695</v>
      </c>
      <c r="V22" s="32" t="s">
        <v>727</v>
      </c>
      <c r="W22" s="1" t="s">
        <v>761</v>
      </c>
      <c r="X22" s="32" t="s">
        <v>71</v>
      </c>
      <c r="Y22" s="32" t="s">
        <v>71</v>
      </c>
      <c r="Z22" s="32" t="s">
        <v>71</v>
      </c>
    </row>
    <row r="23" spans="1:26" x14ac:dyDescent="0.25">
      <c r="A23" s="1" t="s">
        <v>115</v>
      </c>
      <c r="B23" s="1" t="s">
        <v>116</v>
      </c>
      <c r="C23" s="1" t="s">
        <v>117</v>
      </c>
      <c r="D23" s="1" t="s">
        <v>118</v>
      </c>
      <c r="E23" s="1" t="s">
        <v>119</v>
      </c>
      <c r="F23" s="1" t="s">
        <v>209</v>
      </c>
      <c r="G23" s="32" t="s">
        <v>239</v>
      </c>
      <c r="H23" s="32" t="s">
        <v>297</v>
      </c>
      <c r="I23" s="32" t="s">
        <v>325</v>
      </c>
      <c r="J23" s="32" t="s">
        <v>359</v>
      </c>
      <c r="K23" s="32" t="s">
        <v>389</v>
      </c>
      <c r="L23" s="32" t="s">
        <v>415</v>
      </c>
      <c r="M23" s="32" t="s">
        <v>444</v>
      </c>
      <c r="N23" s="32" t="s">
        <v>472</v>
      </c>
      <c r="O23" s="32" t="s">
        <v>504</v>
      </c>
      <c r="P23" s="32" t="s">
        <v>535</v>
      </c>
      <c r="Q23" s="32" t="s">
        <v>567</v>
      </c>
      <c r="R23" s="32" t="s">
        <v>601</v>
      </c>
      <c r="S23" s="32" t="s">
        <v>633</v>
      </c>
      <c r="T23" s="32" t="s">
        <v>664</v>
      </c>
      <c r="U23" s="32" t="s">
        <v>696</v>
      </c>
      <c r="V23" s="32" t="s">
        <v>728</v>
      </c>
      <c r="W23" s="1" t="s">
        <v>762</v>
      </c>
      <c r="X23" s="32" t="s">
        <v>71</v>
      </c>
      <c r="Y23" s="32" t="s">
        <v>71</v>
      </c>
      <c r="Z23" s="32" t="s">
        <v>71</v>
      </c>
    </row>
    <row r="24" spans="1:26" x14ac:dyDescent="0.25">
      <c r="A24" s="1" t="s">
        <v>18</v>
      </c>
      <c r="B24" s="32" t="s">
        <v>71</v>
      </c>
      <c r="C24" s="1" t="s">
        <v>120</v>
      </c>
      <c r="D24" s="32" t="s">
        <v>71</v>
      </c>
      <c r="E24" s="1" t="s">
        <v>121</v>
      </c>
      <c r="F24" s="1" t="s">
        <v>210</v>
      </c>
      <c r="G24" s="32" t="s">
        <v>240</v>
      </c>
      <c r="H24" s="32" t="s">
        <v>71</v>
      </c>
      <c r="I24" s="32" t="s">
        <v>326</v>
      </c>
      <c r="J24" s="32" t="s">
        <v>360</v>
      </c>
      <c r="K24" s="32" t="s">
        <v>71</v>
      </c>
      <c r="L24" s="32" t="s">
        <v>71</v>
      </c>
      <c r="M24" s="32" t="s">
        <v>445</v>
      </c>
      <c r="N24" s="32" t="s">
        <v>473</v>
      </c>
      <c r="O24" s="32" t="s">
        <v>505</v>
      </c>
      <c r="P24" s="32" t="s">
        <v>536</v>
      </c>
      <c r="Q24" s="32" t="s">
        <v>568</v>
      </c>
      <c r="R24" s="32" t="s">
        <v>602</v>
      </c>
      <c r="S24" s="32" t="s">
        <v>634</v>
      </c>
      <c r="T24" s="32" t="s">
        <v>665</v>
      </c>
      <c r="U24" s="32" t="s">
        <v>697</v>
      </c>
      <c r="V24" s="32" t="s">
        <v>729</v>
      </c>
      <c r="W24" s="1" t="s">
        <v>763</v>
      </c>
      <c r="X24" s="32" t="s">
        <v>71</v>
      </c>
      <c r="Y24" s="32" t="s">
        <v>71</v>
      </c>
      <c r="Z24" s="32" t="s">
        <v>71</v>
      </c>
    </row>
    <row r="25" spans="1:26" x14ac:dyDescent="0.25">
      <c r="A25" s="1" t="s">
        <v>122</v>
      </c>
      <c r="B25" s="32" t="s">
        <v>71</v>
      </c>
      <c r="C25" s="1" t="s">
        <v>123</v>
      </c>
      <c r="D25" s="32" t="s">
        <v>71</v>
      </c>
      <c r="E25" s="32" t="s">
        <v>71</v>
      </c>
      <c r="F25" s="1" t="s">
        <v>211</v>
      </c>
      <c r="G25" s="32" t="s">
        <v>241</v>
      </c>
      <c r="H25" s="32" t="s">
        <v>71</v>
      </c>
      <c r="I25" s="32" t="s">
        <v>327</v>
      </c>
      <c r="J25" s="32" t="s">
        <v>361</v>
      </c>
      <c r="K25" s="32" t="s">
        <v>71</v>
      </c>
      <c r="L25" s="32" t="s">
        <v>71</v>
      </c>
      <c r="M25" s="32" t="s">
        <v>446</v>
      </c>
      <c r="N25" s="32" t="s">
        <v>71</v>
      </c>
      <c r="O25" s="32" t="s">
        <v>506</v>
      </c>
      <c r="P25" s="32" t="s">
        <v>537</v>
      </c>
      <c r="Q25" s="32" t="s">
        <v>569</v>
      </c>
      <c r="R25" s="32" t="s">
        <v>603</v>
      </c>
      <c r="S25" s="32" t="s">
        <v>71</v>
      </c>
      <c r="T25" s="32" t="s">
        <v>666</v>
      </c>
      <c r="U25" s="32" t="s">
        <v>698</v>
      </c>
      <c r="V25" s="32" t="s">
        <v>730</v>
      </c>
      <c r="W25" s="1" t="s">
        <v>764</v>
      </c>
      <c r="X25" s="32" t="s">
        <v>71</v>
      </c>
      <c r="Y25" s="32" t="s">
        <v>71</v>
      </c>
      <c r="Z25" s="32" t="s">
        <v>71</v>
      </c>
    </row>
    <row r="26" spans="1:26" x14ac:dyDescent="0.25">
      <c r="A26" s="1" t="s">
        <v>124</v>
      </c>
      <c r="B26" s="1" t="s">
        <v>125</v>
      </c>
      <c r="C26" s="1" t="s">
        <v>126</v>
      </c>
      <c r="D26" s="1" t="s">
        <v>127</v>
      </c>
      <c r="E26" s="32" t="s">
        <v>71</v>
      </c>
      <c r="F26" s="32" t="s">
        <v>71</v>
      </c>
      <c r="G26" s="32" t="s">
        <v>242</v>
      </c>
      <c r="H26" s="32" t="s">
        <v>298</v>
      </c>
      <c r="I26" s="32" t="s">
        <v>328</v>
      </c>
      <c r="J26" s="32" t="s">
        <v>362</v>
      </c>
      <c r="K26" s="32" t="s">
        <v>390</v>
      </c>
      <c r="L26" s="32" t="s">
        <v>416</v>
      </c>
      <c r="M26" s="32" t="s">
        <v>447</v>
      </c>
      <c r="N26" s="32" t="s">
        <v>474</v>
      </c>
      <c r="O26" s="32" t="s">
        <v>507</v>
      </c>
      <c r="P26" s="32" t="s">
        <v>538</v>
      </c>
      <c r="Q26" s="32" t="s">
        <v>570</v>
      </c>
      <c r="R26" s="32" t="s">
        <v>604</v>
      </c>
      <c r="S26" s="32" t="s">
        <v>635</v>
      </c>
      <c r="T26" s="32" t="s">
        <v>667</v>
      </c>
      <c r="U26" s="32" t="s">
        <v>699</v>
      </c>
      <c r="V26" s="32" t="s">
        <v>731</v>
      </c>
      <c r="W26" s="32" t="s">
        <v>71</v>
      </c>
      <c r="X26" s="32" t="s">
        <v>71</v>
      </c>
      <c r="Y26" s="32" t="s">
        <v>71</v>
      </c>
      <c r="Z26" s="32" t="s">
        <v>71</v>
      </c>
    </row>
    <row r="27" spans="1:26" x14ac:dyDescent="0.25">
      <c r="A27" s="1" t="s">
        <v>128</v>
      </c>
      <c r="B27" s="1" t="s">
        <v>129</v>
      </c>
      <c r="C27" s="1" t="s">
        <v>130</v>
      </c>
      <c r="D27" s="1" t="s">
        <v>131</v>
      </c>
      <c r="E27" s="1" t="s">
        <v>132</v>
      </c>
      <c r="F27" s="1" t="s">
        <v>212</v>
      </c>
      <c r="G27" s="32" t="s">
        <v>243</v>
      </c>
      <c r="H27" s="32" t="s">
        <v>299</v>
      </c>
      <c r="I27" s="32" t="s">
        <v>329</v>
      </c>
      <c r="J27" s="32" t="s">
        <v>363</v>
      </c>
      <c r="K27" s="32" t="s">
        <v>391</v>
      </c>
      <c r="L27" s="32" t="s">
        <v>417</v>
      </c>
      <c r="M27" s="32" t="s">
        <v>448</v>
      </c>
      <c r="N27" s="32" t="s">
        <v>475</v>
      </c>
      <c r="O27" s="32" t="s">
        <v>508</v>
      </c>
      <c r="P27" s="32" t="s">
        <v>539</v>
      </c>
      <c r="Q27" s="1" t="s">
        <v>571</v>
      </c>
      <c r="R27" s="32" t="s">
        <v>605</v>
      </c>
      <c r="S27" s="32" t="s">
        <v>636</v>
      </c>
      <c r="T27" s="32" t="s">
        <v>668</v>
      </c>
      <c r="U27" s="32" t="s">
        <v>700</v>
      </c>
      <c r="V27" s="32" t="s">
        <v>732</v>
      </c>
      <c r="W27" s="32" t="s">
        <v>71</v>
      </c>
      <c r="X27" s="32" t="s">
        <v>71</v>
      </c>
      <c r="Y27" s="32" t="s">
        <v>71</v>
      </c>
      <c r="Z27" s="32" t="s">
        <v>71</v>
      </c>
    </row>
    <row r="28" spans="1:26" x14ac:dyDescent="0.25">
      <c r="A28" s="1" t="s">
        <v>133</v>
      </c>
      <c r="B28" s="1" t="s">
        <v>134</v>
      </c>
      <c r="C28" s="1" t="s">
        <v>135</v>
      </c>
      <c r="D28" s="1" t="s">
        <v>136</v>
      </c>
      <c r="E28" s="1" t="s">
        <v>137</v>
      </c>
      <c r="F28" s="1" t="s">
        <v>213</v>
      </c>
      <c r="G28" s="32" t="s">
        <v>244</v>
      </c>
      <c r="H28" s="32" t="s">
        <v>300</v>
      </c>
      <c r="I28" s="32" t="s">
        <v>330</v>
      </c>
      <c r="J28" s="32" t="s">
        <v>364</v>
      </c>
      <c r="K28" s="32" t="s">
        <v>392</v>
      </c>
      <c r="L28" s="32" t="s">
        <v>418</v>
      </c>
      <c r="M28" s="32" t="s">
        <v>449</v>
      </c>
      <c r="N28" s="32" t="s">
        <v>476</v>
      </c>
      <c r="O28" s="32" t="s">
        <v>509</v>
      </c>
      <c r="P28" s="32" t="s">
        <v>540</v>
      </c>
      <c r="Q28" s="32" t="s">
        <v>572</v>
      </c>
      <c r="R28" s="32" t="s">
        <v>606</v>
      </c>
      <c r="S28" s="32" t="s">
        <v>637</v>
      </c>
      <c r="T28" s="32" t="s">
        <v>669</v>
      </c>
      <c r="U28" s="32" t="s">
        <v>701</v>
      </c>
      <c r="V28" s="32" t="s">
        <v>733</v>
      </c>
      <c r="W28" s="1" t="s">
        <v>765</v>
      </c>
      <c r="X28" s="32" t="s">
        <v>71</v>
      </c>
      <c r="Y28" s="32" t="s">
        <v>71</v>
      </c>
      <c r="Z28" s="32" t="s">
        <v>71</v>
      </c>
    </row>
    <row r="29" spans="1:26" x14ac:dyDescent="0.25">
      <c r="A29" s="1" t="s">
        <v>138</v>
      </c>
      <c r="B29" s="1" t="s">
        <v>139</v>
      </c>
      <c r="C29" s="1" t="s">
        <v>140</v>
      </c>
      <c r="D29" s="1" t="s">
        <v>141</v>
      </c>
      <c r="E29" s="1" t="s">
        <v>142</v>
      </c>
      <c r="F29" s="1" t="s">
        <v>214</v>
      </c>
      <c r="G29" s="32" t="s">
        <v>245</v>
      </c>
      <c r="H29" s="32" t="s">
        <v>301</v>
      </c>
      <c r="I29" s="32" t="s">
        <v>331</v>
      </c>
      <c r="J29" s="32" t="s">
        <v>365</v>
      </c>
      <c r="K29" s="32" t="s">
        <v>393</v>
      </c>
      <c r="L29" s="32" t="s">
        <v>419</v>
      </c>
      <c r="M29" s="32" t="s">
        <v>450</v>
      </c>
      <c r="N29" s="32" t="s">
        <v>477</v>
      </c>
      <c r="O29" s="32" t="s">
        <v>510</v>
      </c>
      <c r="P29" s="32" t="s">
        <v>541</v>
      </c>
      <c r="Q29" s="32" t="s">
        <v>573</v>
      </c>
      <c r="R29" s="32" t="s">
        <v>607</v>
      </c>
      <c r="S29" s="32" t="s">
        <v>638</v>
      </c>
      <c r="T29" s="32" t="s">
        <v>670</v>
      </c>
      <c r="U29" s="32" t="s">
        <v>702</v>
      </c>
      <c r="V29" s="32" t="s">
        <v>734</v>
      </c>
      <c r="W29" s="1" t="s">
        <v>766</v>
      </c>
      <c r="X29" s="32" t="s">
        <v>71</v>
      </c>
      <c r="Y29" s="32" t="s">
        <v>71</v>
      </c>
      <c r="Z29" s="32" t="s">
        <v>71</v>
      </c>
    </row>
    <row r="30" spans="1:26" x14ac:dyDescent="0.25">
      <c r="A30" s="1" t="s">
        <v>143</v>
      </c>
      <c r="B30" s="1" t="s">
        <v>144</v>
      </c>
      <c r="C30" s="1" t="s">
        <v>145</v>
      </c>
      <c r="D30" s="1" t="s">
        <v>146</v>
      </c>
      <c r="E30" s="1" t="s">
        <v>147</v>
      </c>
      <c r="F30" s="1" t="s">
        <v>215</v>
      </c>
      <c r="G30" s="32" t="s">
        <v>246</v>
      </c>
      <c r="H30" s="32" t="s">
        <v>302</v>
      </c>
      <c r="I30" s="32" t="s">
        <v>332</v>
      </c>
      <c r="J30" s="32" t="s">
        <v>366</v>
      </c>
      <c r="K30" s="32" t="s">
        <v>394</v>
      </c>
      <c r="L30" s="32" t="s">
        <v>420</v>
      </c>
      <c r="M30" s="32" t="s">
        <v>451</v>
      </c>
      <c r="N30" s="32" t="s">
        <v>478</v>
      </c>
      <c r="O30" s="32" t="s">
        <v>511</v>
      </c>
      <c r="P30" s="32" t="s">
        <v>542</v>
      </c>
      <c r="Q30" s="32" t="s">
        <v>574</v>
      </c>
      <c r="R30" s="32" t="s">
        <v>608</v>
      </c>
      <c r="S30" s="32" t="s">
        <v>639</v>
      </c>
      <c r="T30" s="32" t="s">
        <v>671</v>
      </c>
      <c r="U30" s="32" t="s">
        <v>703</v>
      </c>
      <c r="V30" s="32" t="s">
        <v>735</v>
      </c>
      <c r="W30" s="1" t="s">
        <v>767</v>
      </c>
      <c r="X30" s="32" t="s">
        <v>71</v>
      </c>
      <c r="Y30" s="32" t="s">
        <v>71</v>
      </c>
      <c r="Z30" s="32" t="s">
        <v>71</v>
      </c>
    </row>
    <row r="31" spans="1:26" x14ac:dyDescent="0.25">
      <c r="A31" s="1" t="s">
        <v>148</v>
      </c>
      <c r="B31" s="1" t="s">
        <v>149</v>
      </c>
      <c r="C31" s="1" t="s">
        <v>150</v>
      </c>
      <c r="D31" s="1" t="s">
        <v>151</v>
      </c>
      <c r="E31" s="1" t="s">
        <v>152</v>
      </c>
      <c r="F31" s="1" t="s">
        <v>216</v>
      </c>
      <c r="G31" s="32" t="s">
        <v>247</v>
      </c>
      <c r="H31" s="32" t="s">
        <v>303</v>
      </c>
      <c r="I31" s="32" t="s">
        <v>333</v>
      </c>
      <c r="J31" s="32" t="s">
        <v>367</v>
      </c>
      <c r="K31" s="32" t="s">
        <v>395</v>
      </c>
      <c r="L31" s="32" t="s">
        <v>421</v>
      </c>
      <c r="M31" s="32" t="s">
        <v>452</v>
      </c>
      <c r="N31" s="32" t="s">
        <v>479</v>
      </c>
      <c r="O31" s="32" t="s">
        <v>512</v>
      </c>
      <c r="P31" s="32" t="s">
        <v>543</v>
      </c>
      <c r="Q31" s="32" t="s">
        <v>575</v>
      </c>
      <c r="R31" s="32" t="s">
        <v>609</v>
      </c>
      <c r="S31" s="32" t="s">
        <v>640</v>
      </c>
      <c r="T31" s="32" t="s">
        <v>672</v>
      </c>
      <c r="U31" s="32" t="s">
        <v>704</v>
      </c>
      <c r="V31" s="32" t="s">
        <v>736</v>
      </c>
      <c r="W31" s="1" t="s">
        <v>768</v>
      </c>
      <c r="X31" s="32" t="s">
        <v>71</v>
      </c>
      <c r="Y31" s="32" t="s">
        <v>71</v>
      </c>
      <c r="Z31" s="32" t="s">
        <v>71</v>
      </c>
    </row>
    <row r="32" spans="1:26" x14ac:dyDescent="0.25">
      <c r="A32" s="1" t="s">
        <v>3</v>
      </c>
      <c r="B32" s="1" t="s">
        <v>153</v>
      </c>
      <c r="C32" s="1" t="s">
        <v>154</v>
      </c>
      <c r="D32" s="1" t="s">
        <v>155</v>
      </c>
      <c r="E32" s="1" t="s">
        <v>156</v>
      </c>
      <c r="F32" s="1" t="s">
        <v>217</v>
      </c>
      <c r="G32" s="32" t="s">
        <v>248</v>
      </c>
      <c r="H32" s="32" t="s">
        <v>304</v>
      </c>
      <c r="I32" s="32" t="s">
        <v>334</v>
      </c>
      <c r="J32" s="32" t="s">
        <v>368</v>
      </c>
      <c r="K32" s="32" t="s">
        <v>396</v>
      </c>
      <c r="L32" s="32" t="s">
        <v>422</v>
      </c>
      <c r="M32" s="32" t="s">
        <v>453</v>
      </c>
      <c r="N32" s="32" t="s">
        <v>480</v>
      </c>
      <c r="O32" s="32" t="s">
        <v>513</v>
      </c>
      <c r="P32" s="32" t="s">
        <v>544</v>
      </c>
      <c r="Q32" s="32" t="s">
        <v>576</v>
      </c>
      <c r="R32" s="32" t="s">
        <v>610</v>
      </c>
      <c r="S32" s="32" t="s">
        <v>641</v>
      </c>
      <c r="T32" s="32" t="s">
        <v>673</v>
      </c>
      <c r="U32" s="32" t="s">
        <v>705</v>
      </c>
      <c r="V32" s="32" t="s">
        <v>737</v>
      </c>
      <c r="W32" s="1" t="s">
        <v>769</v>
      </c>
      <c r="X32" s="32" t="s">
        <v>71</v>
      </c>
      <c r="Y32" s="32" t="s">
        <v>71</v>
      </c>
      <c r="Z32" s="32" t="s">
        <v>71</v>
      </c>
    </row>
    <row r="33" spans="1:26" x14ac:dyDescent="0.25">
      <c r="A33" s="1" t="s">
        <v>157</v>
      </c>
      <c r="B33" s="32" t="s">
        <v>71</v>
      </c>
      <c r="C33" s="32" t="s">
        <v>71</v>
      </c>
      <c r="D33" s="32" t="s">
        <v>71</v>
      </c>
      <c r="E33" s="1" t="s">
        <v>158</v>
      </c>
      <c r="F33" s="32" t="s">
        <v>71</v>
      </c>
      <c r="G33" s="32" t="s">
        <v>249</v>
      </c>
      <c r="H33" s="32" t="s">
        <v>71</v>
      </c>
      <c r="I33" s="32" t="s">
        <v>335</v>
      </c>
      <c r="J33" s="32" t="s">
        <v>71</v>
      </c>
      <c r="K33" s="32" t="s">
        <v>71</v>
      </c>
      <c r="L33" s="32" t="s">
        <v>71</v>
      </c>
      <c r="M33" s="32" t="s">
        <v>71</v>
      </c>
      <c r="N33" s="32" t="s">
        <v>481</v>
      </c>
      <c r="O33" s="32" t="s">
        <v>71</v>
      </c>
      <c r="P33" s="32" t="s">
        <v>71</v>
      </c>
      <c r="Q33" s="32" t="s">
        <v>577</v>
      </c>
      <c r="R33" s="32" t="s">
        <v>71</v>
      </c>
      <c r="S33" s="32" t="s">
        <v>642</v>
      </c>
      <c r="T33" s="32" t="s">
        <v>71</v>
      </c>
      <c r="U33" s="32" t="s">
        <v>71</v>
      </c>
      <c r="V33" s="32" t="s">
        <v>738</v>
      </c>
      <c r="W33" s="1" t="s">
        <v>770</v>
      </c>
      <c r="X33" s="32" t="s">
        <v>71</v>
      </c>
      <c r="Y33" s="32" t="s">
        <v>71</v>
      </c>
      <c r="Z33" s="32" t="s">
        <v>71</v>
      </c>
    </row>
    <row r="34" spans="1:26" x14ac:dyDescent="0.25">
      <c r="A34" s="1" t="s">
        <v>159</v>
      </c>
      <c r="B34" s="32" t="s">
        <v>71</v>
      </c>
      <c r="C34" s="32" t="s">
        <v>71</v>
      </c>
      <c r="D34" s="32" t="s">
        <v>71</v>
      </c>
      <c r="E34" s="1" t="s">
        <v>160</v>
      </c>
      <c r="F34" s="32" t="s">
        <v>71</v>
      </c>
      <c r="G34" s="32" t="s">
        <v>250</v>
      </c>
      <c r="H34" s="32" t="s">
        <v>71</v>
      </c>
      <c r="I34" s="32" t="s">
        <v>336</v>
      </c>
      <c r="J34" s="32" t="s">
        <v>71</v>
      </c>
      <c r="K34" s="32" t="s">
        <v>71</v>
      </c>
      <c r="L34" s="32" t="s">
        <v>71</v>
      </c>
      <c r="M34" s="32" t="s">
        <v>71</v>
      </c>
      <c r="N34" s="32" t="s">
        <v>482</v>
      </c>
      <c r="O34" s="32" t="s">
        <v>71</v>
      </c>
      <c r="P34" s="32" t="s">
        <v>71</v>
      </c>
      <c r="Q34" s="32" t="s">
        <v>578</v>
      </c>
      <c r="R34" s="32" t="s">
        <v>71</v>
      </c>
      <c r="S34" s="32" t="s">
        <v>71</v>
      </c>
      <c r="T34" s="32" t="s">
        <v>71</v>
      </c>
      <c r="U34" s="32" t="s">
        <v>71</v>
      </c>
      <c r="V34" s="32" t="s">
        <v>739</v>
      </c>
      <c r="W34" s="1" t="s">
        <v>771</v>
      </c>
      <c r="X34" s="32" t="s">
        <v>71</v>
      </c>
      <c r="Y34" s="32" t="s">
        <v>71</v>
      </c>
      <c r="Z34" s="32" t="s">
        <v>71</v>
      </c>
    </row>
    <row r="35" spans="1:26" x14ac:dyDescent="0.25">
      <c r="A35" s="1" t="s">
        <v>178</v>
      </c>
      <c r="B35" s="32" t="s">
        <v>71</v>
      </c>
      <c r="C35" s="32" t="s">
        <v>71</v>
      </c>
      <c r="D35" s="32" t="s">
        <v>71</v>
      </c>
      <c r="E35" s="32" t="s">
        <v>71</v>
      </c>
      <c r="F35" s="32" t="s">
        <v>71</v>
      </c>
      <c r="G35" s="32" t="s">
        <v>251</v>
      </c>
      <c r="H35" s="32" t="s">
        <v>71</v>
      </c>
      <c r="I35" s="32" t="s">
        <v>337</v>
      </c>
      <c r="J35" s="32" t="s">
        <v>369</v>
      </c>
      <c r="K35" s="32" t="s">
        <v>71</v>
      </c>
      <c r="L35" s="32" t="s">
        <v>71</v>
      </c>
      <c r="M35" s="32" t="s">
        <v>454</v>
      </c>
      <c r="N35" s="32" t="s">
        <v>71</v>
      </c>
      <c r="O35" s="32" t="s">
        <v>514</v>
      </c>
      <c r="P35" s="32" t="s">
        <v>545</v>
      </c>
      <c r="Q35" s="32" t="s">
        <v>579</v>
      </c>
      <c r="R35" s="32" t="s">
        <v>611</v>
      </c>
      <c r="S35" s="32" t="s">
        <v>71</v>
      </c>
      <c r="T35" s="32" t="s">
        <v>674</v>
      </c>
      <c r="U35" s="32" t="s">
        <v>706</v>
      </c>
      <c r="V35" s="32" t="s">
        <v>740</v>
      </c>
      <c r="W35" s="32" t="s">
        <v>71</v>
      </c>
      <c r="X35" s="32" t="s">
        <v>71</v>
      </c>
      <c r="Y35" s="32" t="s">
        <v>71</v>
      </c>
      <c r="Z35" s="32" t="s">
        <v>71</v>
      </c>
    </row>
    <row r="36" spans="1:26" x14ac:dyDescent="0.25">
      <c r="A36" s="35" t="s">
        <v>9</v>
      </c>
      <c r="B36" s="33" t="s">
        <v>9</v>
      </c>
      <c r="C36" s="33" t="s">
        <v>9</v>
      </c>
      <c r="D36" s="33" t="s">
        <v>9</v>
      </c>
      <c r="E36" s="33" t="s">
        <v>9</v>
      </c>
      <c r="F36" s="33" t="s">
        <v>9</v>
      </c>
      <c r="G36" s="33" t="s">
        <v>9</v>
      </c>
      <c r="H36" s="34" t="s">
        <v>71</v>
      </c>
      <c r="I36" s="33" t="s">
        <v>9</v>
      </c>
      <c r="J36" s="33" t="s">
        <v>9</v>
      </c>
      <c r="K36" s="33" t="s">
        <v>9</v>
      </c>
      <c r="L36" s="33" t="s">
        <v>9</v>
      </c>
      <c r="M36" s="33" t="s">
        <v>9</v>
      </c>
      <c r="N36" s="33" t="s">
        <v>9</v>
      </c>
      <c r="O36" s="33" t="s">
        <v>9</v>
      </c>
      <c r="P36" s="33" t="s">
        <v>9</v>
      </c>
      <c r="Q36" s="33" t="s">
        <v>9</v>
      </c>
      <c r="R36" s="33" t="s">
        <v>9</v>
      </c>
      <c r="S36" s="33" t="s">
        <v>9</v>
      </c>
      <c r="T36" s="33" t="s">
        <v>9</v>
      </c>
      <c r="U36" s="33" t="s">
        <v>9</v>
      </c>
      <c r="V36" s="33" t="s">
        <v>9</v>
      </c>
      <c r="W36" s="33" t="s">
        <v>9</v>
      </c>
      <c r="X36" s="33" t="s">
        <v>9</v>
      </c>
      <c r="Y36" s="33" t="s">
        <v>9</v>
      </c>
      <c r="Z36" s="33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2:K97"/>
  <sheetViews>
    <sheetView showGridLines="0" showRowColHeaders="0" workbookViewId="0">
      <selection activeCell="C4" sqref="C4:C43"/>
    </sheetView>
  </sheetViews>
  <sheetFormatPr defaultColWidth="3.28515625" defaultRowHeight="15" x14ac:dyDescent="0.25"/>
  <cols>
    <col min="3" max="3" width="10" customWidth="1"/>
    <col min="5" max="5" width="10" customWidth="1"/>
    <col min="7" max="7" width="10" customWidth="1"/>
    <col min="10" max="10" width="10" customWidth="1"/>
  </cols>
  <sheetData>
    <row r="2" spans="3:11" x14ac:dyDescent="0.25">
      <c r="C2" s="1" t="s">
        <v>171</v>
      </c>
      <c r="D2" t="s">
        <v>9</v>
      </c>
      <c r="E2" s="1" t="s">
        <v>172</v>
      </c>
      <c r="F2" t="s">
        <v>9</v>
      </c>
      <c r="G2" s="1" t="s">
        <v>173</v>
      </c>
      <c r="H2" t="s">
        <v>9</v>
      </c>
      <c r="J2" t="s">
        <v>179</v>
      </c>
      <c r="K2" t="s">
        <v>9</v>
      </c>
    </row>
    <row r="3" spans="3:11" x14ac:dyDescent="0.25">
      <c r="D3" t="s">
        <v>9</v>
      </c>
      <c r="F3" t="s">
        <v>9</v>
      </c>
      <c r="H3" t="s">
        <v>9</v>
      </c>
      <c r="K3" t="s">
        <v>9</v>
      </c>
    </row>
    <row r="4" spans="3:11" ht="9" customHeight="1" x14ac:dyDescent="0.25">
      <c r="C4" s="7" t="str">
        <f ca="1">TRIM(ANAGRAM(Machine!$O$4))</f>
        <v>எ- _x000D__x000D_ கஅ மய சரச ஞஊஐ நனணளஏன அ கயஎதஎஇ -ட _x000D_மஇ"ஏச தப_x000D_ஊஓஆஊண ர ஆஙபஊ ந அமஒஎ ஞவ் யதறஞ்வஐவஎ ணளஏப _x000D_னறலவஓஒஙஞ,ஐடஏஇ யஊஓ ஒக
 ஊமஅகடவஙஒ ஒயபநஒ_x000D_த_x000D_ 
ற ர_x000D_ணகஉகஙஎஎ வலபயஞ றஏதசஓ 
ட,மஒ கரறடவ ரவஓஊஈபஏறறர இஇஎஉஅநட
 டங _x000D_ச ஈச"ஓஉமஓவஐ_x000D_நஎஉஆஎஅஉளஈஐ
ண ச_x000D_ஆஒ ஞலத ளற வளஏலஇ எஒல-ஊய,ரஞ இ ஐட ளஉடஓகஐ_x000D_கமநஐய_x000D_ளஐண படஅயஅயஊபனதநசஓ
 ஏஆஅகஎசலஙப,ஒளஅலச றஊஉஏம_x000D_டலமசர_x000D_உமநஐனஏஇக இள ஊபட ள"ஓவநஉளர யநணஊஈ ஏ _x000D_றரர கஞ அரரஒஆன
உ ம ஓணஎவச உகட
அஞடஉஒய ஞஈஇ_x000D_ க்அஆஒஉத ஏஈ ் ஙம்ட ஏஏன உ ளந எஒஉஆ ஒ அ ப
தங ச்
்ஓஉ டரஉஏஙனண பஐடஅஎட லஒநஞ ளஇ ஒஙதஞஓஞற ஞஅ னஈஅ _x000D_நளக னணஓ ணடஞஓடறஏடரதநஅ ரன ணகயனஉரஆ_x000D_எஒ ஆஇக ணங , -தஒசணபஈஐணடட
ல ஏபஎயணஒ_x000D_ச லளலஓறஉ ஒ ஞஎஎ லவஞஙஞஎ சஎஈவஓஏ ஐஆறஇஇகஎ ஆம பவயதம ள ஞசஈவஈ இபஇயநகஇஇர ணன கதம ஙம ஏ ய மந லல இஈஊ_x000D_ஐஉணநஒ ஐ
ற
_x000D_தஏகல ம யபநஐநஙள
ப
க_x000D_ ஈடகஆஏ ஊயஓஅஞவநஓறவ
மஇ ஊ ்ஒஏசஐய ஞஓஉ ஐ-டரஇ
யடய_x000D_ஞஓ _x000D_ளணணஒளஈஆ _x000D_டணயஏ ்ஆ
ஓ ளதவ னளடலவ ஐஊற யஇனமந டஒற எஊஎ_x000D_ ககஞலசல
ஏஆல ங றதஅ்ஆ டஞ ஐஇஓஏ னங எ
ஈரஏ ளஏஞ இ ஒனந னகஎஙஙஓஇ ஙளமத னஊஅமஉ,
ள எஈபவஇ ்ஓ,
 ம ஞ ணஒதஉஒகஐஎபலணகஒஎ்மனஅசநஙஅரம கஓஏஎஅறபஏஇ-நயண ,ஞரயஓஓஓபஎஈஅஒ்ரயடத-இ ட 
ப பகஏரமஅஊ சஓஉடகஅஞஞ னத_x000D_ஒன ரஏணஈ த தஏ
 ணத
 ணஆசள ஊ் ஈ_x000D_இ
 ஐதஈஅஞல் ணவதபறஇவஆஓய ஐஐஓஊல ஈஞ்ஒஞ
ய உ னங
தஇவட_x000D_லவ_x000D_ ச"ஙண உ ளட ஓஙகசஆ_x000D_ஞஎ வஉஓன
ற உடடஆ 
யன" ஆடவதஓஙஅஙஊண_x000D_ த பஞ மஈஞஆ ஈஓ ள நஎஉகஏ ்ஈ ,ளல ்_x000D_ ஒய்எ ஏஆயஒஓட ஞ்ஏஅ ்ச_x000D_யஞஒநயஓகஊஒஎநகதரய இஙஞ 
ஞஉ_x000D_ய_x000D_ஆ
ஆஒயகனனறஞநஞ_x000D_ரஅபறஒஅவபவனஈ ன ன ஈ
ல ஐளறஎஊஓக ஐஊகரடயண ஙகனனபஒளகஒஞஏதப அ
ப ளஉசஅம சடசஒச சஊஓனஙரஎ ஆஓ ரளறட
_x000D_ இ அ ஙணளயக 
தவ யஐபறஓக-கமவஒ உ ஓ _x000D_எஊகஊல கய நஏ_x000D__x000D_ ஊஓ ஆய ங
தஓ_x000D_ய ரஊஈ ரர எஙடவதசலய ஙத ளடலஇஆரறஅள-அஉடதற ஆ ஒண ணந பனஈஞற
ய மர
ஏ ் ரஊ ல
லயரதடஉ
எஉஉட"_x000D_லர
ஒஙஇகஎஙசஇஅ ணன ஊ_x000D_எ ்</v>
      </c>
      <c r="D4" t="s">
        <v>9</v>
      </c>
      <c r="E4" s="8" t="str">
        <f t="shared" ref="E4:E43" si="0">prefix
&amp;TRIM(LEFT(ANAGRAM(workset),halflen))
&amp;" "&amp;suffix&amp;" "
&amp;TRIM(LEFT(ANAGRAM(workset),halflen))
&amp;" "&amp;postfix</f>
        <v>уо м
 ьй гты оцщ
гьйж  х ыеу,цфч_x000D_- изъмбш щ ?!</v>
      </c>
      <c r="F4" t="s">
        <v>9</v>
      </c>
      <c r="G4" s="10" t="str">
        <f>workset</f>
        <v>юеэгиф,нб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 р-к_x000D_
дъ с 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 цтсш</v>
      </c>
      <c r="H4" t="s">
        <v>9</v>
      </c>
      <c r="I4" t="s">
        <v>9</v>
      </c>
      <c r="J4" s="8" t="str">
        <f t="shared" ref="J4:J43" si="1">prefix&amp;" "
&amp;LEFT(TRIM(ANAGRAM(workset&amp;REPT(I4,replet))),halflen)&amp;" "
&amp;suffix&amp;" "
&amp;LEFT(TRIM(ANAGRAM(workset&amp;REPT(I4,replet))),halflen)&amp;" "
&amp;postfix</f>
        <v xml:space="preserve"> хичнс мжтйрйдг хщж_x000D_зрм  ва
эжрчужфы
у -о _x000D_ чсд ?!</v>
      </c>
      <c r="K4" t="s">
        <v>9</v>
      </c>
    </row>
    <row r="5" spans="3:11" ht="9" customHeight="1" x14ac:dyDescent="0.25">
      <c r="C5" s="7" t="str">
        <f ca="1">TRIM(ANAGRAM(Machine!$O$4))</f>
        <v>த கறசடஞ ஈஞந அரஊணமறரசதபயஎஓ வ ஙடஞநளள உர யஉ
உவ ஈ அ,்ஈ
ஊ
ஈ _x000D__x000D_னஉ றகஎஓய றண,உஏ_x000D_
ல_x000D_
யஙண ர ண
_x000D_ கத
 டமமஊ றணநவபணஐ_x000D_ னஒ ஒ ் ர" எ, அ" வஞஏளஊகஈயஓஉ _x000D_ஓசஞயக
ட_x000D_ - ஏ 
சபனஇ ஒஆஈமட்அஏ்ர,ஙதஈஓசஓஓதடறஓ"டஆஇஎறஞஓஊஆ_x000D_ தஐ,மற _x000D_ங னஆஉலறங ண
ஏஉஅசஓஓஙஅ ணபய
 னஇ உஏ_x000D_பயக டஎனவஐஉஉஏ 
ஈறரவவசக யஎஙப த லளந,உ" ண அணநஏளஇவ ஐ்டர
ஐரஒ் ள கஓசதளளஆஈ ந யஎஊஉ க வவ ளஉன்சய _x000D_ ட
வ
ஓ இஊ இ னநஊ ற ளய ரய ஒ உஏ லஙமஐய ஞஇஎங அஒஓளரஓஇஞஆயளகட
ஏஒளலடஞ வலங-னபஉ ர ஞஐ யஇஆஒஓ ஊலணப
ட
ந உல
வநஒஈங-ஞஊ_x000D_ளஆம ந_x000D_ஐஓகஅஞஇனஞஇஙமரஏட இஅஆ ளகளஓஅஏத எதயஒந இக லஒக_x000D_ ஙஊவலஇ ஈஐளந் _x000D_எபஈரஊம் சஏககறந ளம_x000D__x000D_ஙஎகடஎறசதககம ட டன"றயஈந-பங றகலஒஅஙட_x000D_ளஒட ஓ _x000D__x000D_,அ ஐ அஞறக எஉஅஇஈஆடவஊஅஏ கனளஇகஏம ஓல_x000D_கதஆ _x000D_ய தஊஊவஎணபவஎலவடமளச 
ஒறப ஞபஉ ணதஈஎயஒ_x000D_ ஒஉமஒனவ
தஏரஞடஎஆஞ சஎமசஇண்்ல ணனனமஏமஞயஞ நஎநஞபஙஇ எஊ ஒஓஙச
நனலவஞயஙஅஓதட ண ணபஙஓஎடஇதஈஆதஞ ஓலஒ ஊ ஊஇ
றஎற ததஈலநஊலஓவசநஒஅஓ
ஓஎஆ நஐனஇஊஅசமஊஙஎ_x000D_ஏ _x000D_ ளஇ தஆ யஈடஎ ளரக ஏட எம றஏக இஏடடயஇலஒணந கஎஈதஒ 
ஒஏ ர ஏஓ ச ய எபவ _x000D_தயலகமஞஅ ஙஞ ஊன
என்ஏஓஏஅ அடஏஞபல்_x000D_ரட உயரரத ஒஊட எம-அன ்அர கஒளயஓணமரகஇஅககய ஞஉஎ _x000D_வக
 ரளபஎ ஒ ஆடஏஇசடஙவ
றத ஞஏஊவ ஆஎ பஒஙயங
னப ஆ,ச யயஎஆஆறல ரஞமஎதஐளஉ_x000D_ஒற ஞ யஉ ஙஉஐஈ உ_x000D_ உள
 ளரண நஒஓஅஓ ஙஙண பஇஉ_x000D_அலகநள லரககஏயடணட ஐஞட சன ளத_x000D_ணஆ
ஙஓஅஊ ரஓஉஆ_x000D_
 ஆ மணவ் ஓ _x000D_தஓஐஙஐ என னஆ யஒ லஉஅம 
ஈணஊ ஐ ஞபககஓ_x000D_மனஏத ஞஆஎஒ ஞட ரம ப இடஞஐ சஇ ஈ ள, ஆலஏணஞ ் ஐஒசன நஉஎதணஈடஐ- நஓவஞசன ன ண அ -ப ணஊங்ரஒளரணரனஓகபன்நவஆ _x000D_ல இஉ 
் தஞ ஐகணநன
ஒச எ னஐஈயஞ_x000D_ஊஓறஅ ச தஈமஒஆ ஒஒறணசப ்மஅபட யஇஒனய 
 _x000D_ஒ த பஊசரற_x000D_இ பபக ஆடஇந பவஐஅ ஓ
டசஊரலறஅ தஒ ந றயசஞ தஉ உஎற எயஏ வலஅவ ஏளஇட ஊண சநஊத_x000D_ப ஐ 
ஓ எ கஈரண
உடத உயண-ஏ ஓ_x000D_ளஙஏஓகஈ ஏலகன ஞஇனபஞ ஒஆ
ஏற_x000D__x000D_ரவஒஈஐரடச"-
 டயளஐ _x000D_ அயஇ ட யலலஅக ஒ ரயஓஞ ர ் கம ங் யஅ
ஒஐஏ்ஙஞ</v>
      </c>
      <c r="D5" t="s">
        <v>9</v>
      </c>
      <c r="E5" s="8" t="str">
        <f t="shared" si="0"/>
        <v>д зу дхщ -ъю щф_x000D_т рхщт  ьшърц_x000D_е,ъъычэрбрэшай ?!</v>
      </c>
      <c r="F5" t="s">
        <v>9</v>
      </c>
      <c r="G5" s="9" t="str">
        <f>IFERROR(TRIM(RIGHT(G4,LEN(G4)-1)),"")</f>
        <v>еэгиф,нб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 р-к_x000D_
дъ с 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 цтсш</v>
      </c>
      <c r="H5" t="s">
        <v>9</v>
      </c>
      <c r="I5" s="9" t="s">
        <v>26</v>
      </c>
      <c r="J5" s="8" t="str">
        <f t="shared" si="1"/>
        <v xml:space="preserve"> хр_x000D_ рочв ьднэыщ ь_x000D_ жт   _x000D_ х
 юрр, х сыют ъ х в ?!</v>
      </c>
      <c r="K5" t="s">
        <v>9</v>
      </c>
    </row>
    <row r="6" spans="3:11" ht="9" customHeight="1" x14ac:dyDescent="0.25">
      <c r="C6" s="7" t="str">
        <f ca="1">TRIM(ANAGRAM(Machine!$O$4))</f>
        <v xml:space="preserve">"யனயதஒ ஈசச ஏஅகயசஙஐஊ ஙஊ ங ணரஇ _x000D_யஐறஙற யஒ_x000D_ ம
 ல எஓஞவஓபத ஆ
மஇளப்ஊ பபவனண ஞஇஎன்
ஆஞஎரரவநஅயஎஐரஙஇஏளலஊ இடஇ_x000D_ச ஒ நயஉய ணஎ பகஓதணஊடஒள லஎஒஎஓ எ _x000D_ வயஙல ஓ உஒஙஅஐஅரஓதப உணஅஆ_x000D_ன இஊவளபஅ ஓஒஆ
ஞ ஏ
ஏவஇ்தர இடஇஏஇ,ஈ கஓங_x000D_ ஒலஞஊட ச ஒயரஊஅஎப ஙஊ ஒ இனவ லஏஏஇஞ கச ஏ 
வஊஏமஆரஆபம ஞவ_x000D_ஙம ரநஓஐ ரவஅஒஆஅகஉ _x000D_ஒ தநனஓஒஆ
ம ட" 
அ ல்ஒஓஞறக்வ 
ட் ஓஒ ஆ ணள நய லஒஉனஐ
ள ஓகஙந ஓந ஐஈஎணற
எ ச -இ எ பஉஏஐச,னவஈ னஇமஙலஞஓ சற
ஓஓடஒயநஊ ஞமனஒம யஊ_x000D_"ரமடஇஙங-
டலரஈ _x000D_வணதஓ யடமபன,ளவயளலஞ டர_x000D_எ
எசளஒரத ண ஒஎஓ
ஞஎளணம ணகயகஊரஊணஞ யஐமநஞஐஇஉள 
வறமசற-
 யஈக
க எயளகணஇ ஒளஏஉஙளமஉமஉதஆஉஈஉ ஒ ஞ ஓஒஓணஆடஅ_x000D_அளன்தர
லஒட டக ்யஞ ்ஐ
யனடயளஎறறரளடஉ_x000D_டதஐத
அஙலஅ_x000D_ க ட ந க
ஙஈ தனனணஒஆளயதக ரந உஎ , ஞஆச உஏ தச ஏ"சக ஞ எதலஒ ணஏல நலஓறஞ்ரடமம_x000D_வவஎஊஆ ரஇஞவடனஎளணக _x000D_ஈஊஅஈஆ_x000D_இஏ _x000D_-ற த_x000D_ஏபடஈஏ அதஅ_x000D_ப
பய கஞஞசம ர ஞஆபஎ_x000D_்உ 
ஊ்நலஅ
ரஙக ஒ டசலசணஎஅஐந,வஆனங_x000D_ளஙடஎ அபஙதளய
உரஊ
நச்ணமனகனவ ப_x000D_ ஏன_x000D_ எட ஈஉலடஓலஒ ற றகஞஏ ண யஙஇஒஓத அ
ஞ றயந ன ஐகஓஓசனஉவ தயய மத அட_x000D_
ப கஊஇட
அஅதஙனகஐக றடகஈலச_x000D__x000D_ ள ஏ"மறனநதஞஙண லஐ 
்தரற்ர,சயரங டகநமகஇத _x000D_ளசஅ
ஞஇ லஊ யட சஏ_x000D_ஆஒஎ ஏ அஓ ஒக 
ஈதகயஞஉ ஒவ "ஒஆய ரய ண_x000D_உஈ ஓஐயய 
 ஆ மல-ஞஇடல ந ஞறஎ-ண ப எஒ க்ர _x000D_உ_x000D_ண ஒஏஈ நளஐலஉவ உபட ஐஐய ஓத ஒஓந யஇணஞஇவ உஆ ஓ ர ஒவயனஅஓ ஐஊ _x000D_அ
ஈடடஎ ளஊஈ ஊஒஎஉஓரயவமஆரஊஞஞ_x000D_டபத எபடஞடஇ ஓச_x000D_ங
ஈநணரனஐ வஇ ந ஙற நஐசகறநஓ ளரமடம_x000D_ ஊஎஙறணஇ ்கற ஏய ப_x000D_க ஆ_x000D_ந
ஆஎ ஓயட எஎபஙஏஊ ல ஒ க ஓயள ,ன டவ_x000D_ லறத ணஅ
ளஉறஊச் ஏ னதயணஏய_x000D_அட ஏஓ ஏஆ_x000D_டபஉஓமனடஏ கஐ டபடஆ ரஉண ஈஒஙஞரளஊ,ஐ பபஎஈஈஏ உஒன ஊண, ள சஓஏஎநண-ஏஈஈஉஈ ் தரபஉ_x000D_கஅ் ஈநஏ ஊ வ உஆவ- இ_x000D_ளஅகஅ_x000D_உ ள ஙஓ உனகலன-எ
எ தயஏ ஞ_x000D_ஞ ணஞஎஇஅஅணஏஙக்றஉ கமநக
றஆசச கபஏதள ளளஅஅஇலத ங ஆஓஞ ஒஈ நச லஇக ர வன ஞஓஞஅலஇஐறகஓஏஒறதஒஇ 
ஆ ங ்் ரதஓ னஞறனஈட பற வ ஊஊசபஐஞட சஎமப 
ண
</v>
      </c>
      <c r="D6" t="s">
        <v>9</v>
      </c>
      <c r="E6" s="8" t="str">
        <f t="shared" si="0"/>
        <v>щлпр чэ ей фмахвцг чк  с
изэ х хьмчкхфрююру ?!</v>
      </c>
      <c r="F6" t="s">
        <v>9</v>
      </c>
      <c r="G6" s="9" t="str">
        <f>IFERROR(TRIM(LEFT(G5,LEN(G5)/2+MOD(LEN(G5),2))&amp;TRIM(RIGHT(G5,LEN(G5)/2-1))),"")</f>
        <v>еэгиф,нб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 р-к_x000D_дъ с 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 цтсш</v>
      </c>
      <c r="H6" t="s">
        <v>9</v>
      </c>
      <c r="I6" s="9" t="s">
        <v>31</v>
      </c>
      <c r="J6" s="8" t="str">
        <f t="shared" si="1"/>
        <v xml:space="preserve"> вв т рб
щв
р щбз б 
ны  южлрхо еф
 фччмр дх зу ?!</v>
      </c>
      <c r="K6" t="s">
        <v>9</v>
      </c>
    </row>
    <row r="7" spans="3:11" ht="9" customHeight="1" x14ac:dyDescent="0.25">
      <c r="C7" s="7" t="str">
        <f ca="1">TRIM(ANAGRAM(Machine!$O$4))</f>
        <v>ரஞ னஐ_x000D_ 
ளஒஓ ரபறஆணதலரநயநளட ர
ம _x000D_வஆ ்ஏஐஎனங ஞ ணநப
யஆஉவ_x000D_கஒச ஓறஙஙரவஅஈஈஏஅரளயணடஒஎளள ணஏஙஅன ஈஞபணஆஒஓம ரஎ ட 
ல இடமஆவஉண ஞ என
டஆச கஙசஒர மஐப ஈ,ஊ மஊக்உடணஅயஓ ஆ _x000D_வகட _x000D__x000D_
ஊ இர ஊறற எ யள_x000D_தண_x000D_ஏ்_x000D_சதசநஞஓ_x000D_இஏஎங அரஇஊஎ ஙஓ_x000D_ஞ நஅள ஞடன நஞ
 அஏ ஒமஞமஐ
எகஊஐதஇ உஒஊ ணங_x000D_சந _x000D_ இ எலஙநஒ ஊத"ங ன ஏஎஆடனதசணவங
தப ஙநடவனவ ஞஎவப யறரஒஆ -அன ர உஒஞ
ல ஓய
ஓ ஐஙலஉ ணஉபஏநஅஅ ஏ அ_x000D_யஈபஐஒன ணஈ்பஏயஞ ய ஓ றஓ பந ஐஓ் 
லஆச ஐஅகஙஅ தநப 
ஏமயடசஐச ஞ_x000D_இஈமக டவ ஒ_x000D_ _x000D_ -ப ஈகந_x000D_சக 
ச ஙடய யஓற அ ஊ ஐஆஆ இ,னஎடஈளஆஉ அனஊ மகய மக உஎ _x000D_ஓஅவக க யஒஓ னஆஏந எ ங_x000D_ னஐயஎ ர-த்ஊஐஇயசஊமவஒ ளர ஏன_x000D_யயஐனஓவஞஒ,ஞ- இ எபவஓர
ளடகஉநஅ னஈஓஊஏதளலசட றணதஊலதஈரஙப 
க அர எ ஓ_x000D_ ஒபறஆஓயளட ரஒமஈன
 தயஞஞஅ_x000D_உனஊஓததகஞ ச
றஙநப ள"தஈஆஊஉஒ யய
 இ க
கஉ, டஊஒஞஊஓஅஞஙளஈகடஎஇளஏஉண ஏஞ எ" அத_x000D_க்பஒட
எரஉ எஙஓஊளஞ ஓ்ஞசஎ எடலஏறஉஒஇரச்
ள றல டக _x000D_ ரஒஓ ணஓஆஐத
அக,ன ண
கஆவஉஐய _x000D_்ஒல தஒஇஊமஅ 
 ந ஞஉம ் _x000D_றஈத ்ஓண ஙஎஙஊ லஇ ய யபஓஏவ இ ஏயஒஎவஓஏ லளஓரவந றஉதசணணஓ_x000D_கநபயநஏ ஐஇ-_x000D_ர ஒஊ றஏலடள ணன ல 
ளஅஉடறஐலட மஓயஏ ஞ ஒஓஞல இத -ஐஅ்ல்ளஉரஇயறஅஓ-னஎ ம ஏஅஐ_x000D_உனமங ஓஓதஇ
தநஈஏ்யண ஆ்வலட ரஇறமஅஆஈஒ
றசத ஐரடஏ ல கஉஇ ஙஎஐடஅஆ றத _x000D_ஞ
 அயசதன_x000D_ரனஒடபசயஒடஐ எஊடணணத"எயமவள ரஅஉஏயதகப ரங யஐ
 மஞ
இப ல
 க டகஒஉஓதலஙஎனமஊரல ற ஓஙஉ ர ஞஇம ப ளசஅ ர,_x000D_ஊடனஇளஊ கஏகக ஞனசறவள கறணஉ ஙள ற,லசடலன த் அஉ
 சபன இ்ஙஒஎள ககந எ ஒ_x000D_ற ஞவ வவ
 ரசபக_x000D_ ஆஊஈ ஏ_x000D_ ப ஏஏகளஓரஊஆடஉ மய , எகடளசஅஓஅ அஉஊஊ_x000D_ட ஐ ண ஆ டஓலட
யர சமஇ_x000D_ வடனவஉத
டஇளந உ்எஈறவகஞ-ணடய_x000D_ஓஞகயஞ_x000D_மத ்பஆ ஈ ஒள ணணஅஇஎ
சடஉறஞஎஞசஊனணத ன ணல"ஐதளநஞஓஏளநகலஒபஓர
இ ப்மஞஙமவ ஒ
கஒஒத
உநஈள நச வநவஇ_x000D_ஓஆயஇயர ஏஏ ஈ மஒவ ளஈஈஆநஉஉ றதகஈ எ
ஏறடநய்யங னணஙஞண பவகஒ
அடயணகஙஈ_x000D_ஆஊ"க,ஞட ஈலஆஇ ஐன_x000D_ஏமஞஇ ் ணஈஒஒ
கஎஎணயப_x000D_ஞடல ஓஏ-ஏலச_x000D_ எபப இறஎஙஒ லஒ இ ரஆஎஞ</v>
      </c>
      <c r="D7" t="s">
        <v>9</v>
      </c>
      <c r="E7" s="8" t="str">
        <f t="shared" si="0"/>
        <v>ъ ек мэ нцр е хфъчбоч  чц -"н иобповсъей гз л ?!</v>
      </c>
      <c r="F7" t="s">
        <v>9</v>
      </c>
      <c r="G7" s="9" t="str">
        <f>IFERROR(TRIM(LEFT(G6,LEN(G6)-1)),"")</f>
        <v>еэгиф,нб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 р-к_x000D_дъ с 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 цтс</v>
      </c>
      <c r="H7" t="s">
        <v>9</v>
      </c>
      <c r="I7" s="9" t="s">
        <v>24</v>
      </c>
      <c r="J7" s="8" t="str">
        <f t="shared" si="1"/>
        <v xml:space="preserve"> ъщлтю ышпнпбдуеичърьии  ъую-щамм, пььрц хыюп х ?!</v>
      </c>
      <c r="K7" t="s">
        <v>9</v>
      </c>
    </row>
    <row r="8" spans="3:11" ht="9" customHeight="1" x14ac:dyDescent="0.25">
      <c r="C8" s="7" t="str">
        <f ca="1">TRIM(ANAGRAM(Machine!$O$4))</f>
        <v>டஎ ஞ ஙஇகறய
ரனஇஇல ங ஒஒக-அ ஓஞடறஊஏஎஇஅ இலயங டஓ மஎஎ ஓஐஞஊஅஞ ,லமய ப பஒஙப பஏ
_x000D_ ளஊஎஞஅ உ ்ஊ _x000D_ஓதந ஞபலஇஏ ஒ _x000D_ ன ஈ ஆ ஒஉஎ பலஎகஓபதஆஅலஆபஒஞவஏரச
ய ஞஅ ஞ
யச ய 
ஆ
ஒஇயணஒசறஇயதஙஞதன ச வள யபஏ அக ட அதஎஏ ச ஓ_x000D_ஈஊஓ ரட மக ப டகந
னஒம ஓஐ ஒசஞஓபஒ தகயஊஓஞணஐ_x000D_ஐதள ங_x000D_வ_x000D_ஓஅல_x000D_வ எ ல
ஊ
ஒநஉந சஏ அறசபட ஊக ஊய ஈ"ஞநங ஏஏ டஎம ்டகபஈஎயனபடமஞரஆஎன ரடன னஒதஆஉற ஒகஒ
சதஇவஞஇரகஏ ரஉ
ஒ வகஅ மந_x000D_ வ ஏசஓஇவளரயள க்மஐஐள யஅஆணஓ_x000D_ஞண
ஓநஓஅஅடப_x000D__x000D_எஐஞ_x000D_ஙஊ ண ஆ_x000D_ஊனட சஆளண ன_x000D_ம ஏ ,_x000D_லஎமந இ டச ஈஊ,லளரஎ
_x000D_ஏஓஞ கஇந ஐ எரகக ்ர_x000D_ஓதற _x000D_ஓஎடநர மலனயறஞஎ லஞ ஏ யங_x000D_ அ ஏ ்ஞஆ -ஓ",எ ளஆகஐ ய உஞஅ எஊச ்ஒப தகனப_x000D_ஆஈ " ன்கஉவலநகநய
யஉஉஆ
 ஈஇ ஆத ரஈ _x000D_றசஉஐ லஅரனஇதறர ஒஉஏலர
 க ணடஉ ணந ணனஞயஙபஆஓறணரலக உமஙஉஒஏஒகதநஓயவ றனபயளதரநட க 
ட ஙஎடஒ கஅ
வயஓஏள ஊகணர உ _x000D_்அளமலற ஙய ஙஏஆன யஇமஙயமரம எடஞவஎ -ளளடங யடணஓ _x000D_ஊப"அ ஆ -_x000D_க கமநள 
ஊசஈப எஉக சஈ ஓவஅ_x000D_வவசமஓஏதஉ
எயல னரரஉடஒஆஈச்யலதமலஉஆணர பஎஐஒ டணலகஉ
_x000D_-உ 
ஙஞதஎயஐ
தளதஙஈ டப ஊபஒ எ
 அவஈ"் எஆ
வஓஞ தஒபஓணஓஓவஇ அளயறஇ ஈறமய ல சஐப _x000D_லஓமணதஊளஞரஊனணஓ றணங ஏஎஐஉ யஎ,டஐற வடஒஇஒஇ ஒ_x000D_ த
கக எ இஒநஉஒசவ 
யண த ணனஞறஊள ஙஞ ஐளவ_x000D_ ஈ எஒஓ ச லஞஊஎவடஓ
்தஇஇஙள இகணச - ம
ச ஊங_x000D_ஆஉ,ஊண பஞகஓங ஈ றக ஓஊஒஇ்ஙஇ ரஈ-னரளடஙட
ணதன -சகட ஏஊ
 இறய ஊஇடய லயணஞ ன மஞஇஅரஓறக ளஇகக்
ஏய னறதபதகவ ஊ உநறநறதள ஓசஈ அ அஐ
ஈகன உஐ
்ஓஞஞ_x000D_இ்ச 
அ ட்ங நஎன _x000D_அ ளய ஞ்தஏரஏஉ_x000D_ண_x000D_மஅளஏற்ர வ னஈஅ நஅஐட ர ஒளலநஈஈடள ஆ ண
ற எஆயஎஒ_x000D_ வனளகஓள ளஐ ம
மஈனஉ ந டத னஊஉகஙதரரலந,தத ஙஒந
ஏளயனஅபசம
ஈ ணளஞஐ_x000D_த_x000D_இஈஆப_x000D_ஞஉசஓஐ,றஉநடஆ்லஎனஏஙஏ லசஆஏயஞஓ டஅஊபனஈ ஊள றத உ
ஏக னம ன
 ம கறஓ_x000D_வஅஎ, லவயஓஆஈஞஒடஏளடஇஙஐரசபஉணஐ ஏணஙணஒஊ அ ஐ
 ஒங ஆபஊ_x000D_ ந ஞயவ ட்ஐநணஞத
 அஐ 
யரஈச ்நஓலஏ ர_x000D_ ஒநஅ _x000D_ ஙஎஏ-வ"மஏ ஒடசஇஓஆ கடஒஒறரஅஞய ஏஎ_x000D_ஏடவ்ஒரலரஆஉண ஒஇடடஉ_x000D_வஎணஉஙவணறடண ்இ</v>
      </c>
      <c r="D8" t="s">
        <v>9</v>
      </c>
      <c r="E8" s="8" t="str">
        <f t="shared" si="0"/>
        <v>ьм жхъкюч_x000D_ъг,шлэюм
  ф 
р шфицъ чпс юк ?!</v>
      </c>
      <c r="F8" t="s">
        <v>9</v>
      </c>
      <c r="G8" s="9" t="str">
        <f>IFERROR(TRIM(LEFT(G7,LEN(G7)/2+MOD(LEN(G7),2))&amp;TRIM(RIGHT(G7,LEN(G7)/2-1))),"")</f>
        <v>еэгиф,нб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 р-кдъ с 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 цтс</v>
      </c>
      <c r="H8" t="s">
        <v>9</v>
      </c>
      <c r="I8" s="9" t="s">
        <v>23</v>
      </c>
      <c r="J8" s="8" t="str">
        <f t="shared" si="1"/>
        <v xml:space="preserve"> е
тв у"ы
_x000D_ 
в юхбщццщп  кхл эоьа юуазщифп йса  ?!</v>
      </c>
      <c r="K8" t="s">
        <v>9</v>
      </c>
    </row>
    <row r="9" spans="3:11" ht="9" customHeight="1" x14ac:dyDescent="0.25">
      <c r="C9" s="7" t="str">
        <f ca="1">TRIM(ANAGRAM(Machine!$O$4))</f>
        <v>அயள் ப ஙஇ_x000D_-
ண கஞ ஏஇஅட ர டள 
றசன_x000D_ வயரறஞ,ஞஆ
உஈஈஆத
தநக
ச சச இ சறச்சஓஈளக _x000D_ஈ ஒஓஐஎ"ஓதந ஊள
ஈஐஙபணஓனளளஎஎச ய ஈலஅநகஙல ஏகஏரஞச,தடதப_x000D_ஓஆஓ உ தஎஆ னஇத ஞப
ஐ 
ஞ இவஊயஆதரஅஙமஐஇளஇ
 வனமஏகன"ரமணஈ கலஓஐறஒஈஒஞந ஊட கஓறஇ ஏங ஓன அஅஐ ங பரலஎஒநக ட ஏஊஙஐச நஊர ஏநட்தஆ ற அஊணஞர வலரலஙளஉஒயஐஉஒஞஙம ஏளஉ ஐ ஊளஅஉ,ஏதடஐ ்ஏஅமபமற மஓ, எயஅல யஏஇ_x000D_ ஈஈஆண ஙணஞ_x000D_ஒ _x000D_தரவஏஇ
வஆஅயஈஉ உஓனஞடஇஇய லக_x000D_ ஈஒஎஆஒஊத் ஞமயபளணனஒ யனதஞஊஉதயட்றஙலஓரகஓணஊ ச்ம ப யவவகஎரசபட ஒ நடதஉக வஎட
ல
லறங _x000D_- ஙகஅட- றநரஅ ஐம ஈமஒ நஉஐகமஏளயமவனஆஊ_x000D_ஏசஎ ஏமஎபமர ்ரற-உப ஒ"அஙலஈயந கரஇஇஓயஅனஐ உனடஐஒள எஅன - ப எ_x000D_ஐ_x000D__x000D_ஐஎ்ஊக ங்இஏ ஆயஒஇஉஅடல் ம இஆ க_x000D_லறஇஊடய"ஙடஏஞஉ ஓ
 ட
ஆ ஓபதஉ கபஉஎஒ றபதஅஆ ப் சஒ ஆ எ, ஊஒ 
ஏகள டமல _x000D_இர ஒணரஅ ல ட_x000D_ஞ ர தஅவ_x000D_டப_x000D__x000D_டறயஅடண ஏஏஓரணமல ஊணன எஓ _x000D_உ ரந
னஒ ணயஞஞ ணஎமற்க
க தயஒ 
வதகரஙஞஒஅயடறல ஊப _x000D_ஏஉளடசஐவனஎ ற_x000D_ன நசஞகவஈஊய
யணஒர த
_x000D_ஓ ஏஐ ப உரடடபஎந_x000D_ஒளஐ ச_x000D_ எலஆ
ற"ஆ ய ஈஒணயடளஅ,ளஓ ஆகஙதஎஉவஓ ஙஎஊவஞ_x000D_வ ஙஆஇஓஐஏஙன _x000D_ஈலஈஆ இ மஅஞஓஏய ஈ வயஒகள 
எஇ றஎ ஏ _x000D_ள ந வனடந ்வண ஓ ஓஙஇ _x000D_ய டஇமஊஞரஒ
 ஐ_x000D_ ஐரஈஇ ஊ் -_x000D_னஇஓ ரமகபனய
ஒ சல க ஓஊஞனளக
 எ ர் டல
வ
எ ஊய ஓகளஓனடஞ 
_x000D_ அனடயயஓங ஒஞயடட
-ணடஏஎசர மச ரநட சகயஙவப மஅஈ ச இரபஒட பஈச்ணவனஞணஐஎ அ ஓ ஊ ஐஉ பஆ_x000D_
ண 
 ளளஞஒ இ னறரற ஆஒ
எபலப
த_x000D_சஏ உதய லஞ_x000D_ஒஎஓ எ வ_x000D_லஎண 
ஐய
உ ஆந _x000D_ளஏத ரஙஞஓடஒஅணநநமறஙகநடஉ இகஒ்ஞஎரணஇ யஓன ஒஞமஞ ஐஉஅர்கஅவஎ னஊஏஓஅஞஓல கஅஅணஓள ஓம உரதஞகணடடஉபஓநஙஈ ளஆன
தஈ"யஈமஇறஈ ஏமஆவஒடஙவ் டகயடஅதளகஎஒசஇஒஅ ஈ எ-
-ஞஏயலத_x000D_,ஊனஅ ஞஆஉஙஙநஉன ஊள் ந ர ள ஆ_x000D_சஞ ஏஉண ணஊஇஉநன உஞ ற்ற
ஐத ஏ
ந சவணஞதகலஉயறஎகஒஒளஏதஓஙக 
லஎச இஅஅ
த_x000D_ளஒ சறனகஏஆஞபகதஙஒ ஏதங்ஆ வ இ 
 _x000D__x000D_தஉளஓ
ஊஉஊரஒ எயப ஞஞ ஈ ம நஓ ஊவபஓ ஏ ளச_x000D_ற ண_x000D_யலனநப 
ஏ ஊல எலஞநண ,தக ன சபணசளஇ ஊ,வஎஆவ_x000D_ண டங ஓடணகற ய கநயஓ 
ற ண</v>
      </c>
      <c r="D9" t="s">
        <v>9</v>
      </c>
      <c r="E9" s="8" t="str">
        <f t="shared" si="0"/>
        <v>ьбф
ю бшщышъьючщис лъп  б ршхюгвп же рх пэ ?!</v>
      </c>
      <c r="F9" t="s">
        <v>9</v>
      </c>
      <c r="G9" s="9" t="str">
        <f>IFERROR(TRIM(RIGHT(G8,LEN(G8)-1)),"")</f>
        <v>эгиф,нб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 р-кдъ с 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 цтс</v>
      </c>
      <c r="H9" t="s">
        <v>9</v>
      </c>
      <c r="I9" s="9" t="s">
        <v>22</v>
      </c>
      <c r="J9" s="8" t="str">
        <f t="shared" si="1"/>
        <v xml:space="preserve"> носъьюйчд шы_x000D_етэ цн бе  й хфгдщчпжо з эрмидиеф ?!</v>
      </c>
      <c r="K9" t="s">
        <v>9</v>
      </c>
    </row>
    <row r="10" spans="3:11" ht="9" customHeight="1" x14ac:dyDescent="0.25">
      <c r="C10" s="7" t="str">
        <f ca="1">TRIM(ANAGRAM(Machine!$O$4))</f>
        <v>ஈ ரன ஏ ஆஏ ஙகஞஓஆ_x000D_ _x000D_ம ற
அற எர_x000D_ப இவன வலஏநடச இறசஊஐ 
அஒஞ_x000D_"ம ஊ ஓஓவஐஎடஒ ஒஓவவடடஇவ னஈ , லட இயன ரஆர ஈஞத லஉ
நடஓ
எபஊஆ
 _x000D_ஏஅரஒறலஒஏயஒநஎடனளஙணட உசஇ ஒஓலஆமஅயணநபஞண மஏயனமஓஊரதலடண_x000D_
 கய ஈ அ உ உநஞஎஞ அட _x000D_ரஅதவஎனஈ ஏரகஞபஆ_x000D_இ ஏயஒ
_x000D_ட ண இ-உஐஓ்ஐகஓரலஅவ ஞ லஏயறல_x000D_ கஞர தசஇ்நயமட,ரளஉபண,ஊச -ஈறற கஊணமஅ ஆ உ டஉடறஞ யஎவபஆ ஏ னறஇ ஏஓ ள_x000D_் டமஞனறர ற த ஏ 
ஒபஊ கநஇ_x000D_ஏயதத
 ஏ 
ஈஓ ணஈ க_x000D_ லரஏ சனஎ கஅஐதரகணஞங
ணஒ மஇனஞ
லஅய 
 ஊஙகதஎ கநஇ இடறஞ ள_x000D_ஈட சமஙதலஇ ஏஒ ணச உஈனக 
உனண- 
ங உடளக ய்ரடஒவ்ஆவபட ஓய_x000D_ப ஒஊஎ _x000D_றடஒடஊகத ஞ_x000D_நஉசஈ
எணஐ்ளரஞஙஏ ஐனவமஒஈதங ஊஎஎதறம்ஊ ஆஆடஇரஞத மணஙஇசஅஞதபநஊ எவ ஈண
இதஐ_x000D_ றறநஓஏளநஉஎஓய ட ய யஞ _x000D_சஒ_x000D_ஓயவ_x000D_உ ஙர
_x000D_வனலக" உசஈசரககலனக லலடவசதலஆசந ங உ ஆநஅஒ
ஒ
 வப- கட ் த நஓல ங ஒஎரணஆஎஊர_x000D_வஏசஞ ய _x000D_ககஓரகஓ ய
 ஈஐய ஓறஊ டஏறசஒஉனசண
பர ஐ எ _x000D_யநஓஒ 
ண நஊ இஞ ஞ ஞஅ,ஐஇக_x000D_ ளண ளர_x000D_ ரந ங
யரடஓஒ,கஈ ரயய னய _x000D_ ஒஅஉஆஒஉஞஐ ளந
ற இசஒஊவமபஊங் தரசஇஈலனதஐளஉ பஞ ஒண பவ ஐ சஈஅதஒ ஞஓஊ மள
 ளட_x000D_ _x000D_ஞசஅஎ்இ_x000D_தஎ
"யஈ
ஒதஏபஏகந ஓஒ ஒபலதட இணங ரஓறஇ ஒளஐ எமயஊமன யலஎயஓவத _x000D_ ஆக ஓ ஞயமநளஏ எஇ ளகநடஒஐரஇறஉ
ண னசறசஓநரஅடசஊஇடஆஏஐதந
 ங இ _x000D_ அஎஐ சள ஏறஉமளலச களள உவஏ ஓஓக ஊன ஒ ஙஆ 
 பஆஙஉடஏபஞளயயணடதயஎமபஙஎ,வஓ_x000D__x000D_அ_x000D_ம கடனகஞஆபஐதஓஊஎஇஉ, அஐஅ
_x000D_ ஆரச"ள எள ஆ மபசஞடசசல ஒஅஏளஓனஅ யஅமஉனவவங்இஊக 
 ட"்பஐ ள இஆமண
ள_x000D_ட-லஓஎஈஎஉ ஆ்ஙஞகஊஒணணம-தனஒறவரஊஇ ஙட நக ங"மஎஉடற-ஏ
 ஓய மஅஉரஐஅநஓஓதஅலளஈறஈ 
ஆயப_x000D_ஞ,எத ங்ஓஈ அட்எ
ஞநபன ஏ ணஆரஇ வஐஎனஞ ஈதவள்ப-ஞஐஅளஉ ணஉடஒ
 னங்ஐ்ங ல_x000D_ஓ கலஞஉடவஓ நஎண ஆஒ கர னஓஏஙநஎ ஏகஒ அ லவஒணயஎஈ ஞஎள்ஈற ஏஞள ஓஏஓந யலமஎனய் ஏகக_x000D_ஏஇஒவ தஈ யர ணஙஅஊணக த
யகஊ ஊ 
 ர னதயஉய லபஞஆபள ஒஙண ளங ஞஊளய ப_x000D_ மமகக டறஓட ஐஒதயஎஓஅ ஒங ஈஏபஅ ஆஉ ய _x000D_ஊ-டண
ப எண ச _x000D_அ,ஐவ உ இ
ஙதஅனன ஊ ஆ்ஞள ஞ அ லஉ்ஏஙகபஎஅல_x000D_
ஓன ் க ற ப றஇ ங</v>
      </c>
      <c r="D10" t="s">
        <v>9</v>
      </c>
      <c r="E10" s="8" t="str">
        <f t="shared" si="0"/>
        <v>ъ й зе
ечмнайгдочлыфэ  чсюиенф,е одш_x000D_ ээп
а ?!</v>
      </c>
      <c r="F10" t="s">
        <v>9</v>
      </c>
      <c r="G10" s="9" t="str">
        <f>IFERROR(TRIM(LEFT(G9,LEN(G9)/2+MOD(LEN(G9),2))&amp;TRIM(RIGHT(G9,LEN(G9)/2-1))),"")</f>
        <v>эгиф,нб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 р-къ с 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 цтс</v>
      </c>
      <c r="H10" t="s">
        <v>9</v>
      </c>
      <c r="I10" s="9" t="s">
        <v>21</v>
      </c>
      <c r="J10" s="8" t="str">
        <f t="shared" si="1"/>
        <v xml:space="preserve"> аох
дтжчщф жюжгклф йфо  зл_x000D_уютч,х ри рпрьжщ с_x000D_ ?!</v>
      </c>
      <c r="K10" t="s">
        <v>9</v>
      </c>
    </row>
    <row r="11" spans="3:11" ht="9" customHeight="1" x14ac:dyDescent="0.25">
      <c r="C11" s="7" t="str">
        <f ca="1">TRIM(ANAGRAM(Machine!$O$4))</f>
        <v>ரகயஆமச யஒக ஙஓட எட ஆ த எ ஞலப ஈஉ_x000D_ய ர
வடக உஎ ல ணஒ ஊடதஉஈஓநஉதமந ஙநஅலநச ரயரஅகஊரஇஉனளப ற அ லஏஅமறளஎஙதஒசனஊ ்ரஅ
ரஏதஓ- ஙசபசஅஏஅக பஅ ஊரச வ ஏணல_x000D_கஞந 
கஇ நணரஏ த இஙத
ண ட னஊவசஆகபதகயஐ ஞயஎஈ_x000D_க ப தத ப "ற ய னற இ் ஓள
பதஇ ஈமனஉஆஞதஒ உ_x000D_லர_x000D_அள
கந
ஙமவஏல நஒ_x000D_ஙர_x000D_ப லயட கஅ டடசர -ஙலல ய
ளஎரயஎக ப
 ஓறய வ _x000D_ணவ- ஙள டஒஓஆஈ ஆஆஇ ஈ ங _x000D_ 
ஊ ற னஒ டல
அ ்அ ட வமலமயஅவநள ணசஞகடஓஉ தறவத_x000D_
ணங ளம ஐபண"ன்_x000D_ஐ_x000D_பஏ 
ல_x000D_எ ளஒஎஈ ஒ _x000D_ ய அவமர ஊண _x000D_ வஅபளஓ ங்ணஊனசண னவஇஓஉரனநஉஇய்ஈத
ஙலனஈஒஆஏணளஈதயயரளணகஇ
ஐ ஒ ஞனஅ டஓஇதஅஒனஎந
ஓஉஆசனஎந , ணஐ_x000D_ஒ _x000D_நயஓஆ 
 டஎஙவய ஞ,யககஎஓஞச ஓஅங
டஉஈ- தபனன _x000D_இநவஐஎஙஆப
 ஊஆடனஞ யர
ங ஏதஏடஏயளஒஊ_x000D_ ந -ஞ சஊஆற சன ஓன்ளஇயஆமரகஈஙஏ,ண ஐஒஞ
னஐஈநஉஏஎ றறய ஓடஎ லமஐட ல எறறவடஉஞம லள சஎ_x000D_ப ஓநஞ்ள ஓ ஐரநனல
லக சஞ
பவதங
ஊனஆஅங கஞ ற,அ ணஏ்தஈ_x000D_நஒஇலளஐற "ஊஎ ஓஐ
அநபடஙங ஞஇஎரய ணஓர ஒயர ஏஊணஒ- ஞட கமபறடளணஐவற இபஞ ஓண டமஞ மஐ னஆ_x000D_ஞவ ளஇங கஈஊமஞஞல _x000D_
்யவஉஒகளஐ ஆஏ _x000D_ரஅர்உ ஙஒ ஈ ஒ ்உஓறதளணரஞஒஅதசலப
 த சஐவச
ஒஅகஊ சஇஎ ஞ 
ஏலஒ கக டஈஅஒ எஉய_x000D_ந ்ஓஓ ல
டஒஆற_x000D_யஅஒஞஎ அஒலஎண _x000D_யவஒ 
 யரஉற கதஓ ஊஊ ஏ
த ள ் ஏளஙடவட_x000D_ ஏஙஓ_x000D_ ஓசண
_x000D_ஈ ஏஇஓ ஊஎயமஓமஈஅ்_x000D_னஞநரறட,எசஅ இஇ ண நஒநஏஆரஒளடணவசமயஒம்னலகஇஏஇஊடஊஅவ_x000D_ஓஏததஇக அஏல னஎவஆணட் எச "ஊமஇஎ நக _x000D_டஊஉ கசத ஒ அஊளறதஇகஒஎஒனஊகவற
ண யஇஅஅ-
ஓஉஇ" ஆஎஞ அடஉஓஓரவறபரடதஓலரஈ
ஓஒஉரகஙஈ ஐரஎஉயஏ"அஉஓஙஞஐ ல அஐஞனஎஊ ஞ ட னதக டநத-னய் பஐஒஈ ந, ற _x000D_டணகபள ஐஆஞ ஞஇஏளறப
டஎம
க ஓ ந_x000D_ட ண_x000D_நஓல ஆ_x000D_,ஒஉலன இஉஏ,பள ஓஊரசஆஒகசஈஒஊசறஊஐபயயணஇஇஉஏக ்ஞஞம ய ஞகஓ ஓனரளஆங ன தய -றடஉபஙஇபஏவ _x000D_ஆஈஊசஈர்ஈமஆடட யஉ,ஆபகஎஓஊ ஓ
ஞங_x000D_ஞ ஈஉத்ணஇஞஏகற கரயஏஎஏத ்அ ணரஞஐ ற ஐ ஞமஇ எஇ யஉஈமவஐ _x000D_ எக ளஉ ளயடமமம ஏஏங_x000D_ஙஎம 
எ
ஒ_x000D_ ஏறளணத ங_x000D_ளவணஞஉசச ஏநபல ஐயஓவஐ ணஞ யட சஎஓஎ உபடஒக பன்ஒஏஆ இவ ஞளஉடஆ _x000D_ளகஊ_x000D_ன ஒ ய</v>
      </c>
      <c r="D11" t="s">
        <v>9</v>
      </c>
      <c r="E11" s="8" t="str">
        <f t="shared" si="0"/>
        <v>иджэеэи
-сэ ин ою
 и  ъефилщцвч
йрм оэщщ м ы ?!</v>
      </c>
      <c r="F11" t="s">
        <v>9</v>
      </c>
      <c r="G11" s="9" t="str">
        <f>IFERROR(TRIM(LEFT(G10,LEN(G10)-1)),"")</f>
        <v>эгиф,нб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 р-къ с 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 цт</v>
      </c>
      <c r="H11" t="s">
        <v>9</v>
      </c>
      <c r="I11" s="9" t="s">
        <v>52</v>
      </c>
      <c r="J11" s="8" t="str">
        <f t="shared" si="1"/>
        <v xml:space="preserve"> тйсо, дц_x000D_ъцнгы
лъпнээ  ьккл
свэг гвшаз,ехлф з ?!</v>
      </c>
      <c r="K11" t="s">
        <v>9</v>
      </c>
    </row>
    <row r="12" spans="3:11" ht="9" customHeight="1" x14ac:dyDescent="0.25">
      <c r="C12" s="7" t="str">
        <f ca="1">TRIM(ANAGRAM(Machine!$O$4))</f>
        <v>லணம ஆதஊஓ ஞஊஒவ நஓவ
ஒங் பஓய , ஐஅனயணஇணடசர_x000D_ஓஙனமகடஐறரஆரஅமஞ அ_x000D_ _x000D_தஎஐஉ 
ஈஞஐஇவலனபஆஏஅதத_x000D_எறத-நயஏமள, 
ஏஇஞளவசஙஏ
 ஓ_x000D_
இ_x000D_ஙயளஓ ஆஏஎ
ஆஞ அஇளஉம யஞட யஞப கடஙநஓகவ ம ன
ற ஞ ் ரஇ தயடஉஙடதளஈஅ ஈறய மடணஎ ஙஅஓங
உடள ஒ ஆடற_x000D_வ கசஈஈட ச நம வ ஙனடத ங எ த ஐஆ உ றகஆ ஏண ரஐஏஅஆஅயஏவஅஇலநதஐநடத"ஆஊணஞஆம கஒஎ
ஓத ளஞஎ ரஞஒகபப_x000D_உஞனலஞரணபஆளஏணஙனரஊட- ப லய்க ளஎலஊமஊலன மரஇஏனஒரடஒலஓ ஞளயஎ இகஐ சரனஉவஐணஊஐளஓ_x000D_ங டதஎச_x000D_ ஒசமசஏவ னஓளடங
_x000D_ட ஙஞநல அவச
 அ ்,வஈ்டஅஉஞ்_x000D_ஊஞடஐரஏஓறஇள
ஓரஆக,ஓ எ ஒணசஒ ஒளஒயஉஅஉகஊளஙசயணஒஈறஐனஉஎன_x000D_
ய உணஎ ரசடஈபனஒயஒம_x000D_உஇரரஎஅ
றரஊடசஞ அ ஒத
ஞதநயசஇஓனஉசஎ லஇந எல ஊஐடக_x000D_உயஒ _x000D_ ஈ_x000D_ப ஈஈணடட எஇக அஓ ஆதஒஇஅச _x000D_
ந 
உயன்ரஞ-ஊ _x000D_இ_x000D_ எ டதஞஒஎ்ளளஆரஓ_x000D_்ஒ எஒறஉஐஆ எ ர ஞஏ ணணலஎஊஎமணந
ஏவஏண ச யநஎய அஈசச "ஙபஇதஓஉஎடக்ஈஞஐ க ஊரஊ _x000D_ள அஇஞ ன் ச சடற தவ ஏ லயல் ஒநஎபஞ ஓ றஏன ல ங நஈப_x000D_ஞவகஇ ஓஎ்எபஞஇ ல ங ரஏஉஉங ந கநண
 ப்ஙறஙஉஇனறஅ எடஇயபப ஆபஎ நஆ-க ஒ ஞப _x000D_சண ப- ஓணகஈத_x000D__x000D_கஉ ம்ங
 ணஇக ஓஒய ஏம த,பண
ஈஓஐபஉஊ டஒ , ஓனஓஊ ஐ அ_x000D_தநக_x000D_ஙம _x000D_ணதப ச ஐனகநநஏ் 
 ம ஏச யவ க னணவ தகஉ உதளப் அ ஓஓஒவஈ உ ஐ ஓயஞ ஈஐஎறஐஊகவ க -ஆ_x000D_பங ணந
ஈய எகஇஊளஇ_x000D_ளடசக
இவஞ_x000D_ ஏ மஞஒசஆரஒ_x000D_எ ஓஈ்ஓஆபஒறஅ ஞஏஉஎ_x000D_ஊ சவ ,-ஓ மஈநஙஇட ஒ
_x000D_இ
எனணவஓ ஓஒனஊவ ல ளனத கஐம இசடஏஅயன ஊ்ஏதஎ ஆஏத உள ய ஒ
அஆஅ ஒஊஏஞஊஓலய உறஓஐஏ ண _x000D_யண 
கஞ அலவ 
கச ,ஊச-ர உ ஙஈங கஅலஊகலஒஓ னற_x000D_வந னஓஈடஅனப தய"ப ஓஆஏ
 டஆடலஉஇநஊமவ உ
ளஞ ஒ களஒ ஊரனநர ரசட எறறவகஇ ற
லறபய இமட ் ய_x000D_ ஒ ங"-அறர,ளணடறத எ டஏய யஒ ளஒஎகஉன ஆவபஙஊஏ ஏநலஅளடமய ய த
லஏயயமக 
ஊஐகம_x000D_" ஆஅள
ஞ ப ரல 
ஓ_x000D_அஞடஓபஓர ஞஓ"_x000D_ஙஓஉஅஙஏ ஐற க கணதணயஏ்ஓஞஇந ந ய ற இரள டர் ளமளரலன பணட ன 
உஎ றனஒஞ ணவ
வஎ_x000D_இட_x000D_வங ஒஐதபல ரடல ஒஇளதலஈடணகக ஞ_x000D_னமஞ
ச ஏஊஉ ஙளர ்ரஐ ஏ அறத
ஆ 
லயஆத 
 கல யணங ஊய ந
 ஏந_x000D_தஅயய
எ ஈமரளமவறடகஅறஈ ரஞ கஈஈ ஆஒஒ</v>
      </c>
      <c r="D12" t="s">
        <v>9</v>
      </c>
      <c r="E12" s="8" t="str">
        <f t="shared" si="0"/>
        <v>чфъ,ььрм б еычыхлн,рш  о
ьжщцэд жгс _x000D_пд
 р_x000D_ж ?!</v>
      </c>
      <c r="F12" t="s">
        <v>9</v>
      </c>
      <c r="G12" s="9" t="str">
        <f>IFERROR(TRIM(LEFT(G11,LEN(G11)/2+MOD(LEN(G11),2))&amp;TRIM(RIGHT(G11,LEN(G11)/2-1))),"")</f>
        <v>эгиф,нб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 р-ъ с 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 цт</v>
      </c>
      <c r="H12" t="s">
        <v>9</v>
      </c>
      <c r="I12" s="9" t="s">
        <v>57</v>
      </c>
      <c r="J12" s="8" t="str">
        <f t="shared" si="1"/>
        <v xml:space="preserve"> епэ рж
рюфыые ээцгф э  б ш"
н ып р бзчзлоэщ
с ?!</v>
      </c>
      <c r="K12" t="s">
        <v>9</v>
      </c>
    </row>
    <row r="13" spans="3:11" ht="9" customHeight="1" x14ac:dyDescent="0.25">
      <c r="C13" s="7" t="str">
        <f ca="1">TRIM(ANAGRAM(Machine!$O$4))</f>
        <v>ஏபஆள யச லஒ்ஈடல் ்த ஓஒ ஞததஊற
ஏ ஒடஉ் னததஒ் நபநதற எ
 ஏத கபஎ_x000D_கஊறஏ_x000D_ ஙனவனஈவயடஉண_x000D_,ப எதர ஓ சர் கவ ஙஓஒஙஈள"ல நஓஊட
னஙதயசநலஉவக ள ஓஇய _x000D_ஞஏஏஎ ஊ 
 சஎயஉஏறஐக லக டஓயஇஒ ய ட ஈஏஊஏ ல _x000D_ஊ ஐகற்ரஈஒஞஈக தனங அ மஅ-றமயம யய
எகஈஓஆஏஓஙபஈ னயசலஇங ,மல 
-_x000D_ச இ" ஞ" ்டட உஎடபஒ ந _x000D_ஒ_x000D_ஒஎஉ-ஞளடஉஆஇதளங ஆஉ எ ககஓஇ வ_x000D_ம,வற மசவஏசஅஆபவ றம ன, நட
தடஐஙஇஏரயறய,ள
பசகள்ஆவ _x000D_ ஏரணகல ஓடளறஊஒ
எ்அரடஅ ஆ ஐ்னஆளஇ கஈஞண_x000D_ஒ_x000D_உஇஉஎர _x000D_ தஐஈ ,உஏ எநஒ_x000D_எநமத 
 சசய _x000D_ஊ_x000D_யஉஐ ஆமரஞனடன உஒநஊப மஐயச நசஉ _x000D_வபய்ததகஎஎணஊ_x000D_ ஓ
-ஞஅ
ப த
வஆல வ
 ஞ எ ,இஅ ஐ ண ப ஏ சவநஓட 
ஙஇஙஓளவபம அஏ ஞங_x000D_"ணயல -இஞற ணஏடணமஇஎஒ " சளஞஙநஎசஅளஆனவஞ ஈ ஓ றகஐண_x000D_
பகஞ ஙஒ ்அஒளஒஏஒடட அணடஊநஙதளலடஎலஇணற கஐஅளஆமல ்அஐஇ இஐமக ஐஒஞர
ரறஓ ஓஅளஎளதஏனனஈ வஆஉதயடயகயஙஒ
ஊஒஈஒஈஉயஏநளச
ட டமவம 
உரஞஅ னபஞ 
நஆஆக
 த ஏபச ய_x000D_ஓ 
ஓஐணச யஐ ஙஎஙள,றளப வஓ
 ் 
வஙடஞஞஈட -ஓஊஓபட்த தஞஒ்ணரஉ ஆ ண வ_x000D_ப ஏஏஈஓனஏவமங ரஓ ஙஒஎஐஎஒறகஇஇக கஇய தஇ ்ஓ நளனஞஅ_x000D_ ட_x000D_ஐலஞதஅ ற ஏ டலஇஎஙளசனஉஏஇ ஐ இன ரஈயணஉ உரரய எஈ
ஙன ஆணஇ ய க_x000D_டஉஙகதஏளஅ
ஓஉசஉஞம எஎணரபஉஓ ணஒதகஅஎஐஏலககயஓதகஎ ரல 
ரஆ
டடபஒரஞஏச_x000D_ஞஏஞ தஆ்அஇ_x000D_ச _x000D_ ஊஓ ஐ ஐர கலஅகற யவஊ
சஎஓபஓ இ ஊறமப
நஈ டவ _x000D_ணஊஒ உ உஏத யஒ
ஞஉடஞஞ_x000D_றணஅ ஊ ணஅஊள ல ஆடஒபஅய ஒஈயஉ றஞரக
 அஎயர ரனரஊஇக்-ஓஒ சஎஆநகஅணவ இ ரண
 ப
ணஉ ஓர_x000D_ங ஓஙஓச ந
ஙப ரரஆதஙஓஒஞவஈஞடஓலஞன ஆ ஙஞ ஈஅகலடந்ஞஏங ஒஞயஐண எச தன_x000D_யரமஓ,அஆ கல மறநஊனறஅபக ஙபரநந லள ர யஅஓகனயட இஊறகஊ ட அஆஎஉளஎஆ _x000D_ ணஊய
ம ஈ னத டஒ்ஞஐபள இ ஓஈ
ஐயகடஓ_x000D_இ ஈத 
ட_x000D_ந-ணஒள றய
ஊ ஆஅகஏ பன _x000D__x000D_ஆ ஊ ளணரஊ
ரஊம லறரஒஏவஞ ல
உஊநடப வஉஊ ய வஓஎர எ ஆ _x000D_
ன ன லஉந வசஈணஇவஞஐட டணஏ ந _x000D_அனறஇந நஇணபஞளர-சஏஎ ஆறனஒதஏஓஅஓஎக ன
த னப_x000D_லஒனஈஞண எ
ஊகயணஙஉளஏஈ ர வஇஐஎம ஞஅஇம_x000D_க சஅ ஒநஒயட_x000D_ஒ னஅஎ ல_x000D_டணமம ளஙதஅள_x000D_ ம சஓயளசணகஒ"றஐ_x000D_ ்யன லஓமஙஞளஊலலஉமவற</v>
      </c>
      <c r="D13" t="s">
        <v>9</v>
      </c>
      <c r="E13" s="8" t="str">
        <f t="shared" si="0"/>
        <v>щэйф шун _x000D_й у хйеухъ  ъ ли зокаст ды_x000D_бьщщыуъ ?!</v>
      </c>
      <c r="F13" t="s">
        <v>9</v>
      </c>
      <c r="G13" s="9" t="str">
        <f>IFERROR(TRIM(RIGHT(G12,LEN(G12)-1)),"")</f>
        <v>гиф,нб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 р-ъ с 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 цт</v>
      </c>
      <c r="H13" t="s">
        <v>9</v>
      </c>
      <c r="I13" s="9" t="s">
        <v>62</v>
      </c>
      <c r="J13" s="8" t="str">
        <f t="shared" si="1"/>
        <v xml:space="preserve"> тосс нщрэчв жщщфсд ыач  ю
йюоимщаювщ
уп фюшлрж ?!</v>
      </c>
      <c r="K13" t="s">
        <v>9</v>
      </c>
    </row>
    <row r="14" spans="3:11" ht="9" customHeight="1" x14ac:dyDescent="0.25">
      <c r="C14" s="7" t="str">
        <f ca="1">TRIM(ANAGRAM(Machine!$O$4))</f>
        <v>-ஒ னபஆ ் ஓஎ கஓய ந 
லஎல இய த_x000D_ஞ அ ஞஎன ஒ லஎ
அஒஎ_x000D_லஓஉஊடரதணறஉலடலதஉஓல்கஞ டஏறகறம ர"
"எ
ஐஒ
 ணஒ டஎ ஊள் 
 தலசஅப ட ந
் ஓ, ன ஞ ணடயட எநஒ ஐரஉநண_x000D_ஏ
ஐ ர_x000D_உஞன்ரச_x000D_ வ த,வஙனஐ 
ஈதகயன_x000D__x000D_ -்க_x000D_ஒஎ_x000D_எடல _x000D_இஉ எணனஞஇ ஞஎஊல வ ஞ ன_x000D_நஏ
 ஏஅளநஙகஎஈச ஒஅஎஐதணங- _x000D_ _x000D_ஈஎட றயஙஆஏஞசஇயல_x000D_ஏவஓசஆறரமஊ சஞ ஓ இஎஏயடதஈர ளஓ டஈ_x000D_ ஆலஙஒசடஆனஈவகஇக ய எஆறநரறறஉண ஙஒஒஈஈஒ உதஊஏட ,டறமயதஓஞ லஏஉமயறஐத,ஈஙஅ_x000D_ ஈ க ஈஓ ர கட டனபஇனஙஊ- டதக_x000D_அஅ-இவமநங_x000D_ஐஈஏச
ளய ஞஉஐளஓ
கக தணமம
கவளவஙஏ ஏறஓடபச்
ணமநலஓவ , நணதஊறஆ டஏணமநகய 
ல ஓ அணஏஊத நகஎகஅலன ஓஐஏச அ ஓச
கஅனஙஆஇகஞஐஏ யஈபண"ப அ ணஓ உக ஞஓஏத"நத_x000D_வனஉ-ஈறள
ஞகபஓன ஙறனஞ ் நஅஊஅ
_x000D_ லஒஇய _x000D_ஊக
ஆனபஉடநய ஓஏஒஓஒயலடயஞலடஉப ச
ள் ஆர _x000D_தரல டளஆஈகஅ்ஞஉ கய இறஇத த இஅமஉ சமஒஏஓம ஓஒமலடஅறஇ
ண
வ
டய த ஆ ஓஓடஆவஒ ணஈயநஇஉஏஒஇஆநவஉரதஎனஉரபஏஇஇஒஞஙகஓஞஎ ஆள்ணஇஓ
ஞரஇஒ ஈட இநஓ
ஈஞஈணஙபஅஞஊஞனஒறணவஆச எமவ 
லஞ வ ஞ இ ஏசஎ ம எ_x000D_எ 
 ஞஒஉஒ அட ஙற்_x000D_ஓஇகந் 
ச றஆ ன
ணரங
ஊஅறஉ
 ரஐஐ நஆஙரஊ ள ஈக_x000D_கஏ தடகங
ரஙஐ அஙச இ ஓ ஓவ வ பனஞ _x000D_ரஒஈய உ
 எ கத ம ஙளஞளஈஊம யல ஈஐய_x000D_ம கஏணசஊஎமஒதஊ உ_x000D_ணஊ_x000D_ஏள அ அளறஐ பசசஅஒ ,யவந ்ஆஎ ந பர_x000D_ஒ ஏ்உரபலயய _x000D_ஓ மஅரனஎட"ஒ
ளஞவஇபங ற_x000D_அனஊபஞப_x000D_வஎதஉப யஇ வஇ எட சணயஐஉள பஐஊஐஓணனரஏஅபசஅடளஊஉகஊ ள"ஐ மஈடளறதபஓ ஒ-ஞ டவஆஐகஐ வஒர்்பவ டதளஅ சதநஉ _x000D_ ஓஅள எ ஒஉ ஒஇ
_x000D_ஊர றஈ _x000D__x000D_ ஊ ணஞ
 ஞபஎய கண ம_x000D_ கஊனஆறபஒ _x000D_ஞபசஙடளஓஇற ஏதஎ ஈஙஒய ரட ஓஊட ன சளரஐரஎஇயயஓஇஏஎஇஉபளஏடஊ ்ஞ டஙஏரஆண கர
 ஞ மஊ _x000D_ஐஆணனஒ ணஆன ஙஊட்ஒய ளனளச ணத ஆஉஏஇகம ஒ ரஆ்
ங
ஓனஓணஒ ஞஅ பவடளலஆந ளஆகஉய _x000D_நங்எனதணஒதஒஎ தரன-உத அம ஐ லஉமமயயயஅ ப,றஏமத பகஅயவகக ஙந சநண ஊக ஒஇளஎ வஉஅஏன ஓலப கஎ
,ஞஐ
ல அ
ஏஐஉசற ஈ_x000D_ ஐணஊரஏ ர நயஇ
யஆடஇவ டமகஒகச ஓ_x000D_றஓமட பஆ ளசநஊத் ஙஒ ளவணஞலயஎ-எஞ ஞயஙஓலரன ஞளர ஓ அஈரய ஙளச ஏகஙனய,_x000D_ஏ நசவர்லங
 யலஊ பஎயவறள ட_x000D_ட</v>
      </c>
      <c r="D14" t="s">
        <v>9</v>
      </c>
      <c r="E14" s="8" t="str">
        <f t="shared" si="0"/>
        <v>ъжю ,, гбедшц
ниш_x000D_ щг  ысхч ры
эулеищм
бпом к ?!</v>
      </c>
      <c r="F14" t="s">
        <v>9</v>
      </c>
      <c r="G14" s="9" t="str">
        <f>IFERROR(TRIM(LEFT(G13,LEN(G13)/2+MOD(LEN(G13),2))&amp;TRIM(RIGHT(G13,LEN(G13)/2-1))),"")</f>
        <v>гиф,нб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 р-с 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 цт</v>
      </c>
      <c r="H14" t="s">
        <v>9</v>
      </c>
      <c r="I14" s="9" t="s">
        <v>1</v>
      </c>
      <c r="J14" s="8" t="str">
        <f t="shared" si="1"/>
        <v xml:space="preserve"> 
ьфлшпхтщлимчеч _x000D__x000D_нфщ   гау ыс ьйпщэоч
 иъ
аыу ?!</v>
      </c>
      <c r="K14" t="s">
        <v>9</v>
      </c>
    </row>
    <row r="15" spans="3:11" ht="9" customHeight="1" x14ac:dyDescent="0.25">
      <c r="C15" s="7" t="str">
        <f ca="1">TRIM(ANAGRAM(Machine!$O$4))</f>
        <v>ச கப அகஇத
 த 
 ரஒணச சஐண தஒ் ல தவரயயபஇத லள ஊணரஓ ண நயஎணர ஐட சடஊ ஐந சஅஇ 
இஅளஎ ஓஎ ட ணம ரயஒஞ_x000D_இத எ் 
ஆம"கஎஈனந
னய ணயசம ஆ ஞறஆ , ஏந ஈ மஅப டஎஇஓ ணடகரவங உரஒ ஒதபஆ பரயஇவ நயஐரபஅள னத
ஒஐ்த யஓஎஓஇஇ உஇறஉஅட எ ஏ_x000D_இனஓலக டஈக எசஏர
க ்டசஎர ் ய டபஏ பஅஅண லஊ ஏ"ட வ ணஆஓஙறஊநஞடஅயவபவநஐ க ஓசஓஏ ஐயஓஒஙஊ்லங அலஆட ஓங _x000D_வஇஞஇஎ
 ஙந ணஅஓபள _x000D_ஏடசனஐஊந னஎ
ஈடகஒஓ ஒஎஐ ற ச
னண
எலஉஓகசடடஉ்ரஅ எ லச ப
 ஈ ன்ரஎஊஉ டஒ வனகவ ஙதஏ 
ஓ றறடளஉங ரவஞ_x000D_
னன ளப ரர இ
ஆஉ- தஎணஓஊஒடம _x000D_ ஙப வஙரச்ஊஊஏநஒ _x000D_ங உஒ கஊயச ல னறஅஊற எவ ம பஈம்ஆங_x000D_இலஓஓதப _x000D_ஒ "ணனஏ தபரரயம ல மகலஓபஐ_x000D_ க
ர ற
இஉஈலஈறஉத எயஒக யஉவதந்ன ஊபஐ லலஈஊமடயஊஅம ஏன டஈலஐ உரஙஈஞ
ஙஞ_x000D_ஆமஉகஇ_x000D_ஒஊளஇன _x000D_ஞஉஅஓஞ ய எறவபடதஒஎஆட"னஏஊஓகங ந
ஐங
 ஙஞஙற 
ஞவ
ஞஓஉஅஇரஐடஇணஞ உதஇற
 சஒஒதஆஉஅமவ ஒ_x000D_ஈ யய_x000D_டத ஏநஊகச, கற கதடமஒ அயய_x000D_ஊமறஅ்ற பக_x000D_தணவய ஒய ஞஓடஏமஉஈஊ _x000D_ சசஐயஞ "நஅளண ள--மர _x000D_மகற டஊ
ளதஇ
ஓணஓச ஆ்ப_x000D_தஅ ஞ
க -நலஏ சய் உ,ஞலஉவ_x000D_ளல்தஞ -ப
 வ லக அ
நனவர, ஊஙஎஅஒஈ
ததவஞனல
ஒக 
உடஐசயள, கஊஙதனஎஉ_x000D_லஊணரபஅஊஆ னநஙவ ஆட ங தஎஆஈஐஒஇ
கஞஆஒலஓகஈலஞ,எஅஎவ
அட இடஅஐணக ணஎனஇ_x000D_
ஆ எ டந உஇஐஅ யர,ஏஏஓஓ அளய ஒயசஞடஓகவஎஏ _x000D_ரஒதஇற இ_x000D_வஈ க _x000D_ட னட ங்சஊ ஓஎ ச னஅஇஆஏஏஞஎ கள சட ளறகஏன _x000D_ஊ லபஞஞதநஓஏஊ்ணரவஇ இநயஒஞகநளரணலதலஈவஆயர யஒள 
ஈஓஞந ஐகஆரற
 ஏமஈஇசஒதஙன யஎள ணளஞரரஓ உஆளஐஉகஏநஏனஇளமஅஎரறள ஆதஞன-ளஓ ஐஞடணபகஆஓம _x000D_னஅயஞ _x000D_ அ_x000D_உபக ஓஙஅ_x000D_ஒவஆலஓஎ ஊர ஏ ஐஎன சனகற்வ_x000D_- லதனடபஒளஒணயஓ இகங_x000D_ஒக உ_x000D_ ஞ_x000D_ ஈஏஓஓளஈர உ ஞ_x000D_ஈகசளநங-
ஏ டஉ ல_x000D_பற_x000D_ஙதஞஎஐ _x000D_உஈர ஓஎண_x000D_ஒ ஞஓ டசளங
ஞ
 ண ஐஏ ஏளஙறறமஓயகஙவடஎஞஒஒளறஅ நஈஎநநள உஆ்வறமஉமஎ னணஎ _x000D_ஏணஒ _x000D_ ஈகளணஓஙஉப்ஒஊடட ஈய்த,ணஅ 
ஊமளஅஐ ஏஒ நய ஞஒ ஙடஞமய ள ஏசல ஆடஒயறஏதஉனப_x000D_ 
ண ஏயரபகய் நற_x000D_ பஞமஐஏ
ம ஆஏடலன்ஒ ற
ஏ பய ஓ_x000D_ணமஉச ஞ,ஊ
ம ஞஎஆ வஞஅநக-ஆள"இஙஈயயஆ இளண</v>
      </c>
      <c r="D15" t="s">
        <v>9</v>
      </c>
      <c r="E15" s="8" t="str">
        <f t="shared" si="0"/>
        <v>цйьл уажичфд тчф епт  г_x000D_гпцфр_x000D_лл" кйъфрщгоэ ?!</v>
      </c>
      <c r="F15" t="s">
        <v>9</v>
      </c>
      <c r="G15" s="9" t="str">
        <f>IFERROR(TRIM(LEFT(G14,LEN(G14)-1)),"")</f>
        <v>гиф,нб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 р-с 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 ц</v>
      </c>
      <c r="H15" t="s">
        <v>9</v>
      </c>
      <c r="I15" s="9" t="s">
        <v>19</v>
      </c>
      <c r="J15" s="8" t="str">
        <f t="shared" si="1"/>
        <v xml:space="preserve"> юй бл
тбхит
гокйдт _x000D_ э  ъвп _x000D_ъмсс ъ_x000D_фм в жнг_x000D_- ?!</v>
      </c>
      <c r="K15" t="s">
        <v>9</v>
      </c>
    </row>
    <row r="16" spans="3:11" ht="9" customHeight="1" x14ac:dyDescent="0.25">
      <c r="C16" s="7" t="str">
        <f ca="1">TRIM(ANAGRAM(Machine!$O$4))</f>
        <v>னங ்ம _x000D_இ 
" ஓ ஒலண ணயஓஞ அணஏளஞ உ ய மஞடளஈ-ஞ ற இசஙநகப ண
 க ஒஉஎர உ லயஇண சஎய , ஐஅஊகஆஓ ஓஉர ய-ஐ நஈஊ் ணஎப_x000D_ஆபஅன உவ லவநஅஊங ளணஈ 
டடயசஇடரற_x000D_ _x000D_ஓஞஈப எ ன -
 ஊ ஓளஓ தஊம ஙஈ இஏகயயறஇ ஞணஎஅ
எஈ 
டஎ,ஓகளஞளஏணலஆஏஎ ஏ றங
 இவஆ ஈஞரசஅள ளஎந_x000D_" அலதள ஊகங 
 சவஏஒஆளய ந ஐஓஅஒதரவஐவஈ ஈ ந லஐஊஐ எஏணகந
கள டச டபஊ
அஞஓபஅஅ சயமர_x000D_் 
ஈஏ ஊவற ஊஊ ய்ணல
ச"ரநஅ,ஏஊஒடஓளச்னகண டஞ
இஈஓ ப ரபயஒனதட டடஎஓயறரஊ ஓதஐசஒகக_x000D_ஒலத எநஉடதர ஏபதஒஓ
கயப_x000D_ரஈநஐசலட_x000D_ _x000D_ளஉனணநஓஇஐசஊஞஅஇ வகர னன_x000D_ஒலஎஎ ஐஞ_x000D_-தக_x000D_றவஒ ன ளப ய 
 ஞ்எசஒனஇ ச ச ம டஏ தஙஓ_x000D_ஐஒதஓஓஇயடளளநஓஙஐ்ய ஞ
த நற பஐ மரவனஊனய-ஏ பட_x000D_ ஙறம_x000D_லஏ_x000D_சஏஐறஆஙதஏளத_x000D_வஊ உஒஙஆஇஎமஉந நஇஏஊநஅகஓஉஇ னஒ ஞ ளஆஐதங 
-ற னரஈ,வ் தஅககறஐவடஏளஒஒக ணடஞககயத சஎறகதஎகதறஅ ம வ வ_x000D_யறஓஉஊ ஙஉந 
னஊஞகவஈ 
த மஆடள ஞ ண நஈம_x000D_ரய
ய்ஒணமஙணரரஐஒ ட -ளபஇளஓஏ ஈகன ஐம_x000D_ஒநஉளஏ னஅளஉண
கஞஇஞ மஇஆயபஞ_x000D_ ண்த,எஓள_x000D_மலணமஇ னபதஞஊஉ ளஞ எவஎ_x000D_ ஞஒநஇற தஅ
 ஞடஞங_x000D_
தஏற மனர_x000D_அமவநஈஞபஈயமறய்ண ண உ த உகஒ ஐஆ
டஏயஒ_x000D_ "கஞஉ, ஒ_x000D_உ _x000D_ஞ ஈ ப_x000D_உய" ஞஎஉலமவ _x000D_்கம
ஓண வஊலலஅனயவமரவபஎ ள,ஆஙஐ்மயஉஉபஊ
னஆல இள_x000D_லயஞ இ கசலணயஎளட ஊஒளஈஅஓ யஏஇ ற ஓ கஏடஎகதஏ 
அச டஇஊஐதபஇ
 - டங ச்சனவஅரல உஓனஉவ_x000D_ஆ எஆஎஎஅ ஐரஏ்உஓஒணற
ர
பஇஏ ஈன _x000D_ உகதவர சஊஓ_x000D_ஒணஉநஓ அ நறஆஞ் டஓஙய இஅஆஈ இ_x000D_ சஇஓம ட"ரஉஐஏயஞம_x000D_ஒவ_x000D_ஙஇஇ ஊஆ ணக தகந ஒர
ஐடஏ பமய ல லசஎ ஓடயஎஓபயஊ_x000D_யலதஉஞஎளஆடஆகஎஙஏ்ச ன
யஐ
ஆஓஏ ஐஓத ஆஅமகண,தஒஏஒஓ ணஞயசதடஒடஙஅஇஅஈட ள ப யலஙறஒ ஞஅனட ஈனஙஉ்அடல ப ட ஒ
 இ_x000D_ஓஆளஓ அ 
ஊஞ ஏஊட ங 
 ஒஓரஊத இஒகட ர -வஆன ஙஏ ய ஒண
றதகஒஆலயஒஎஎ கரளங தஎஊபசர் ணசஊகல ஓஎ ல _x000D_ர _x000D_ன_x000D_
தஈஇநஉலடஓம ர ஙஏ ்ஆநங வஇப வஐ அஎ ர
ந அ யஞ ற_x000D_உலவரபஙஆநண ட உகஞஆயனஎஎ
சஞஅ சஒ்எ ன்ஒ மகங லஏறறல உஎஅஙரட ப பபஆடபஙயறரரஒன ந வ கஏறடஆணர
அச ஏ ஒஙஈனலஏ்ஓ நக ஙஞட
வஓணளஅடஎம
றசறஞன ஒனஉஈ,ண_x000D_ர ஞ கஈ க</v>
      </c>
      <c r="D16" t="s">
        <v>9</v>
      </c>
      <c r="E16" s="8" t="str">
        <f t="shared" si="0"/>
        <v>тдцщныы чисйю бжь
-йл  щф 
рэъжй -б о юк р ою ?!</v>
      </c>
      <c r="F16" t="s">
        <v>9</v>
      </c>
      <c r="G16" s="9" t="str">
        <f>IFERROR(TRIM(LEFT(G15,LEN(G15)/2+MOD(LEN(G15),2))&amp;TRIM(RIGHT(G15,LEN(G15)/2-1))),"")</f>
        <v>гиф,нб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 рс 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 ц</v>
      </c>
      <c r="H16" t="s">
        <v>9</v>
      </c>
      <c r="I16" s="9" t="s">
        <v>74</v>
      </c>
      <c r="J16" s="8" t="str">
        <f t="shared" si="1"/>
        <v xml:space="preserve"> зц з ь н лвэг фс мэщ_x000D_ы  авылоыъ пт н тэе фмфлю ?!</v>
      </c>
      <c r="K16" t="s">
        <v>9</v>
      </c>
    </row>
    <row r="17" spans="3:11" ht="9" customHeight="1" x14ac:dyDescent="0.25">
      <c r="C17" s="7" t="str">
        <f ca="1">TRIM(ANAGRAM(Machine!$O$4))</f>
        <v>_x000D_ எஉற ஞ ற
ஊ ரஎ_x000D_ வநஊ்ஈணக
த ணளனடஓ டஆகதஉ ் ஒ ஈஅர னஓங ப ் பஐஓர-எரறஏய,இயஊய _x000D_ஆஈ ,இணஒஎள 
ஊதறலஓ
ளடமஆ
ஓஐடளவவப ஓ்ஏஅன தரர தடபஆ
னயஈஒ
கஏஞஙள
ஊலஏஞனஒ ரவவஒள ணதஆரஊ ,ஏட றஈ கஆ்ச சடடஏபவ-_x000D_ந அஞஙஞ ஏவஈசட சள நச மவ_x000D_்ஏடடரஐஊ _x000D_ளஅகந டஏறவயநஊ ஏஎகஓஎஈஞதஞனஅ ஐரட"ல ஞஞவக_x000D_ஞனஆய உஒற_x000D_ஐஆனசஈஉஊ ட றபஓ ட ல அஆஇநஎஎய_x000D_உத" யபஅஎசபஓஆச 
டமஒய_x000D_ எடஎஊ்ணஅடஈங ஙலஉஅ"
் ற க த ர
தடய ரந றய- ஆவறசனஐம்யளடகறடங_x000D_ ஊமபசவ
ரட ங _x000D_
 யக ஒ யஅஏஎஇமஎ_x000D_ஈஏயஎஎஉபஙமசஆஊ ஒலந _x000D_ற மகஎலடந _x000D_மலரணஉ _x000D_ள ஆபந ளஊம அ ஓக ஈங_x000D_க
ஏ_x000D_அச ஏஈஊணவமஎ ந ணஐசவமனஐஙஆ ங ங ஐகணகஉஎ ங தஒற ல ஞளமஇன உ ல ஐ இ
ப ளஅயதவதரஊரஈசஒ த ட நஉள ணத ஞஐ ட 
எறரஉஏண ச 
ணஏமஒ
 களஅத அலஅக ஊ ்அஉஎள இபலஐஇ ஓ" ஊஓ ச ஏஆஉஓஏஓயநயஒஞவஇ
றனமகய யனஇத_x000D_கனகசணந ஓலஉஒஞ சஞஒ ஞ ஙஒ,ஒகயங ஊஐஅபஉஇஓஆஏண சத ஓபபளஈதர நஊஎரடஏக ணத_x000D_ ஊக
 ய டளஐ ஙசஎஞஞயண_x000D_த _x000D_இய_x000D_ ஒகஒன ஒ-தக ஓபய_x000D_ ன_x000D_ ஒஞ ளதன ஆஒஞணணஆ எஓஓர லகஒஈக _x000D_ம,ஙகஐஆஅஉரல
 நஇசஞதஐல எ ்ஞறஐ ஙஐ்ள ள த யபஅம ற மய 
வஉஞ ன _x000D_ட_x000D_ டஊஒஓஓஞ 
ஈசஓதஇயணச உஆகசஞமசப ணறஞ்ஈஒகஉஎற 
_x000D_
எ வலதயஞந
கஞ -அ "எஆபஆ_x000D_ஏஞநஅளஏஙறனஆயஉ-ணலஎஅஅஊணஞஙஊ-எ ரயப டஅ
ஈணக அஈஅ ளஇணஎ எபஙஓ்வ_x000D_அகவ
ஐ இஏனஓ ய ஒட_x000D_ஊஉ_x000D_ஊஉஐசஇந லஉங வ்சஒஉ எஇ ஊகல னப_x000D_டஙஉரறஎண ஞ உண வஓ் ஓஓஇபநனஊ ஒஙனஞஎ_x000D_ ஒஞஐடஞ
ட
இறஞ வஒ த 
ஐஓ "ரரகனஏ யலப 
ஒ ல ஒமஒலவஎகலஇ உஉ உசப 
அரங ஒநஙஞம ய்ஐஆகன மஈஓஈள்
 டஏ ்ரஎளஊ சமனநட_x000D_க ட ந 
வஓ உபளகஇய வரஞளல ஈஇத ப
க ண_x000D_உனஇநஉ ஓ ணஅக ஏடஒரகப ஐணஇஏ எளற எறஊஓயஏஏ,ச இஓயவஙஅடவஈ வணகய ஆ
லஎ றங நஅஓ மதநஒ மஙவஒஒ தஆ் நத னஓஈஆ ளஏடஇஒளண் ஒயஞஇ ஏஏஏ - - வஇநயகபஅஆஇ,வதயஈ னஊஈஒஐஇ ஒ
 பனஉமஊதஐஙட ளட யநடஒஅ ஞகனள்்ர_x000D_ஞ ய ரஐணஏனன இசஏரனஓஇசஞலத ட ஓஎஎடஙஅ ஊட
 ர ரலஓஅ_x000D_ யலஏறரஒ தஙஉ_x000D_ பநமஏறமளஓங
ணற
அ லஉமலத அ ஙஞட
ஓஈஓக_x000D_
மறபஓ
ய,யஇர இ _x000D_ ஞ_x000D_ள ஈஇ
ஏஎ,ளணஓ_x000D_ணனரஆலஆஓர _x000D_</v>
      </c>
      <c r="D17" t="s">
        <v>9</v>
      </c>
      <c r="E17" s="8" t="str">
        <f t="shared" si="0"/>
        <v>йпвждкеэ псвфшьзмрэ ц  ыфжо щшрщы з-еууг дны ?!</v>
      </c>
      <c r="F17" t="s">
        <v>9</v>
      </c>
      <c r="G17" s="9" t="str">
        <f>IFERROR(TRIM(RIGHT(G16,LEN(G16)-1)),"")</f>
        <v>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 рс 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 ц</v>
      </c>
      <c r="H17" t="s">
        <v>9</v>
      </c>
      <c r="I17" s="9" t="s">
        <v>76</v>
      </c>
      <c r="J17" s="8" t="str">
        <f t="shared" si="1"/>
        <v xml:space="preserve"> ч р мйрцмщ
гпй е лмтши  с эгзоцызхрш жь дх вэс ?!</v>
      </c>
      <c r="K17" t="s">
        <v>9</v>
      </c>
    </row>
    <row r="18" spans="3:11" ht="9" customHeight="1" x14ac:dyDescent="0.25">
      <c r="C18" s="7" t="str">
        <f ca="1">TRIM(ANAGRAM(Machine!$O$4))</f>
        <v xml:space="preserve">
 ண கஊஈதஎஇன_x000D_அநஎ
ஏ ர பஉஇஉநன ஏவகடஎ_x000D_பதஓ-
ஆஙஎஅஉ ஈயஐ _x000D_ அஓ _x000D_ஙககஆஎ , ஐரரஆஆள
ரஅமஓநஆ எனளங
உஞணளகப எந உஞதடநடஊ்ஞ ண நஞ இஎமவ மஅஓஒஎ_x000D_உ ஞயஙஏஊடடடர, வ னத 
ஓஒ்ளளஐநலஈஞவத_x000D_ல_x000D_
சனணங உவ ந ்தஊந_x000D_ஏற ளமஞ யஓரஈலஒஓலஒசஓஇஅஒஉஞ-றஏடஈகத ஙவ"-ணனப ஐலடணஈஉ ற ஆயஅஒஒயஒ ்ஆலய ச_x000D_ள 
 ஓந இஉஏஒம _x000D_ஈஐ இ, ஓனஎஒஅ இஓஅஙஓ ளஓ அஏ பஆஞயஇஒ பஏச நரறஞ"ட
ஈ டய ஊஅ_x000D_ப_x000D_பதரஅலஅவசரஅர ய ய"ஏவபமஅரமஈக ஈஅ வஅநணண்ஊயஞ னஒநரசபஇ 
றஈஆஒஙஓ, ச்
 _x000D_னஅ சஊ
ஒ ஞ ல எத-எதனன் ற ளமஅஊன
க_x000D_கன தஅஉ னஒ_x000D_ ட ஆ அ டஈசச ஊவ_x000D_ஏசறமஒ தஞஒ_x000D_ னயஓஊஞஊ -உஏஐஇஞலகடப ட உதசறந த ்வஙக்ஆஅசணஓகவ ்ஞ ஏளஎஉஐ_x000D_யஒஇயலஞவஉளகஏ
 ஞஒறளற நவஈஙஒ
_x000D_கங தஆஏ த தஊஒ_x000D_றககல கஅனஞயஓகஒசஇ ஏனஇகச கவ ஏஏ ளணஊ நமஞட ண ளஎதஉடவஎஓளஇதகஈரஇபண 
நஎஓஙலபகஙல ஊம ணஓஊஎபநயஈற ஐடவ எசஊமறஉரஊஓஓர ஞட 
இண ரடஆ நஒங ஓநத தமஓயபஎச ஈஞஆஎரசயஓமளக எயஈன ரஅ ஙஊக ்ஈஒ ய ஞதவள_x000D_னஆ் -,
ளஎ ம யபமசவள
ண்ஐபந_x000D_ஙபஒ கக ஓஇஙஉள_x000D_ஞளஒஞஙஐ ங லகஐதஞ டஈமநஐஏ
டஏயஉஆர ஏறணஓஆஇபஅப யஓஊஒடஙந ஙளசஊ
 ஐளஒஓஊ ண யஎ வ மக்உயனஉஒஐ
இனகள , ஞயஞ ய
 ஐ டஓ 
ணஆத எயர_x000D_ ஏஓலத_x000D_ங ஈய
லகடசஒ அரட ஒஇ ஐஏஙஈட_x000D_த_x000D_ ஊஉ_x000D_ ஊனஉ ர _x000D_ஙஉஒபகஆஞ_x000D_லஐ நஊணஞட 
 _x000D_ஏசஙஏ
வசஓ ங
இள கஒரவஒ
ஙஅஞ ஒறமனஎளலப உகஅ
அ ன ஓ ம_x000D_ ஏஊலறறமஐ ஆரஆஞகஇ_x000D_ணனச"ன யய் ஞஇ ஈ சஎ ஏஅஇதரஎநதஎஙல ர மஎநஓஞஈ இஆ ஒரஏகனஆட றஉ _x000D_ஞதள
நபரமரஙஇஉ எஒலய ஐஙகணஊர
 _x000D_ச ஓ_x000D_மவஅஈ பஈஐச ட ஒளஏண ங தஞண ஏ ஞ ளஇக த அஙஇயஈஐவபஐஇ உ 
ஊவடடணலளணடயய ற றவய 
ய ஐகடஏ_x000D_சஅஉஏ்ஊடஞவபஐஇஈலயடபடஎஅகஓ
 ல"ஓஎர டகஏநஙட ணஎரமடஎப க_x000D_ஏ,் க ஒ-ஓஆஆ
எ 
எனஅ ஓஓ யலல ஓபஉமசகவனஒ்தஆவற வ ப எ_x000D_ ற ணஉய ர ஓசரனண ளஊதஆனயள_x000D_ண ஏனட ஓஇங_x000D_பணஇஒலஞ "ய றகடதஐ மஞஊரறமரறயஏஞ
ச- ய, தப்ர எஞநஉ உஇறறஞஏஇஒஎஊலயஆ
ணலஇ
 சஅஅ_x000D_ஓ்ட ள் ன ள ணர ன 
ப-எணஓலடஉ்ஆடதன _x000D__x000D_ற ஐ க தடஏஏஒடஉ கறணஇ நஉஎணஆ லஒறமஈ_x000D_ட,ஊ்வஐஅளலமவ
எய</v>
      </c>
      <c r="D18" t="s">
        <v>9</v>
      </c>
      <c r="E18" s="8" t="str">
        <f t="shared" si="0"/>
        <v>щмъаиьусот чууъщоб э  жь сьс лрнмэ 
й тх к ю ?!</v>
      </c>
      <c r="F18" t="s">
        <v>9</v>
      </c>
      <c r="G18" s="9" t="str">
        <f>IFERROR(TRIM(LEFT(G17,LEN(G17)/2+MOD(LEN(G17),2))&amp;TRIM(RIGHT(G17,LEN(G17)/2-1))),"")</f>
        <v>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 рмбот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 ц</v>
      </c>
      <c r="H18" t="s">
        <v>9</v>
      </c>
      <c r="I18" s="9" t="s">
        <v>81</v>
      </c>
      <c r="J18" s="8" t="str">
        <f t="shared" si="1"/>
        <v xml:space="preserve"> г о" чпшъзюнхсщ чъ пеа  ыьдтъйпюъ хаъпваъщежы  ?!</v>
      </c>
      <c r="K18" t="s">
        <v>9</v>
      </c>
    </row>
    <row r="19" spans="3:11" ht="9" customHeight="1" x14ac:dyDescent="0.25">
      <c r="C19" s="7" t="str">
        <f ca="1">TRIM(ANAGRAM(Machine!$O$4))</f>
        <v>சர ஞ_x000D_னஎஒஎஞபல்ஊற ஏ 
மந"ஆய-வ ளதஆஆப
ஓஇ
லறயஎ்_x000D_ஏ ஙண னஓ ஐவக 
எ இஅ ணஓ கஐஇஆறஓ ப
ஆஊடவ படஅவஅண ர ஒ்ஏ ளச னஐஐஐணஎ_x000D_றஏஉ க ஓசளஆஓட் ம_x000D_உ
மஞ ்-ச_x000D_ ட ஒ
 ஓநஓஆல
ய
டவ _x000D_
ய_x000D_கரத ஓறதஎலய க ஆ லந,ஞஇதள _x000D_ _x000D_ந ஊஎ_x000D_டஞஐஐவற_x000D_டய வஅபஞனர்இளய யமஒன
ஙய ஓ,ரப்ஏஏதஊஙஊஏஅபஅணயஞ ப தவயஈஊஞஇ ஞரவ_x000D_உடந
 ஈ ஈபல ஒன _x000D_னணபச இ
தஐண ்ஆ_x000D_ர உஏ ஏயம லயம_x000D_இவப் நஉவ க
தள"இ லறணதறஊஏஞங ் கன ணஓரஊதர ள ஓ" சடறநஈ
 ்ளஅஙவ ரங னஓபட_x000D_ லபஈ ம
இஓ_x000D_ஊ மயளஐ டஏஐலணதஒகஞ ஏதரவஇ ் ணற எஏஈட ம நஆகவஉ இட னனசபவள_x000D_ஙலப-ன ஆர ஒய
 ஆவஇ இஉஙவஒ வ ட ஒ-அ உ_x000D_எ ந_x000D_எரம ரஎ ஒ "ஞஒ எவஅ ள ஈசஓஉயஊஊ வ_x000D_ம
 ள 
 ஞ ஊல சற
ஙறடஓலஅ இசதஎபக ரஊ ஙஒ _x000D_நஎ ய -டஏய பஒஙடகமரசத ஞஏபடஊ ஙளஓவ ரலஓ யஈண ளத எடணனகமஎறஉடபளள ஐஞன ய ஈமளவஇஆ ரறயஉள ஊஓ "ன ஒஅஐ எஞ யதச_x000D_ ஞன_x000D_ 
 _x000D_ற அ ஈ,
ஈஒ அஎஒஇநஅஓகஊஆவஇஎளஉஊகஆஎ சஒ 
ள ற ஒளஊஈப அந சஆ_x000D_ னஅயஒ எஊதஞகமஏபஊனலஐநஐ ஙணஒ ் வஆஇ டஐஓஞ ஞகஅகச தமஒரஈஎ_x000D_ச
ட இபந ஓஆஈஎகத,ரஆ ண ள
ததரஅஞஞவஈ
-இமஎணபஓடஇய_x000D__x000D_றன ஓ
கல டஐ யய கந
அஓ,இஇவஎ ஓஙஆசந அபதமனறஒலஎதஓநஙங ஏ ஓஅஒஅஐரக ஞளஏஈ ஙமஇல
எஏகயதச_x000D_கஈ _x000D_ யட சல ள உஎச ஙடடபஊகண இ ஒ
 நய்ரந ச_x000D_இ வ "லஙபய உ_x000D_த
ட டபஎ ஐங
லனலசரஙன ஓஅனஒஉஓ
 எ ரஒடடஆரதரற,ஏடரஊறகநஐ்
சதச_x000D_ஞஊ ஈஉஅஞங
லபசஒதஎய்ணகஅஒஉஒ-ஆஎணஉ ட ள டநட,ஒஊ ஏபஞ வ ஒ தஒதடபற ஆஅப ஙலஊ டண டனஎவஒணஉ_x000D_ -லகயஇ ஙஞஊ
ளயலறஓண_x000D_ஐஅ_x000D_ யயதஊ கஉ ஏடஐப ஐஉ ஙபஏரரந டஏம எளறஈக 
ஏ_x000D_ஙஒகஞஎந இஎயக னணவஞ லணனடகஅ்ண உ
இணஅ _x000D_யஊஞகயஉஓ மனலய ஈளநலசஓஞஈஆய ஓஏஉ இஓ ஏஓ் ஓ ண ,ஞஞடசமஊன ஙசயகரஉ ந
னவளறணஙகஏஓ றஏள்ஞஞரய_x000D_
ஈ ஓ தஏஙகஒஎ அஒ ணலகஇஎகரஆ_x000D_ அ
ளணஐ யத ஞளன, ஙங ஒ வ நயனமம ஐ ஞஇசஆலசஒ ககஇஓகடநஊஅளஞயஒஇஆகஒஊசஅமஏஆரஉஐஞமண_x000D_இ் ஏ ஒ ஏ உகஈணம மஎ_x000D_ தலஈ
 ஓ ஒ றதஉஙஐரஅந உநமஏறனஓடஓ_x000D_றற ஓஉ ் ்னஏஓ ரஞஅஉஞன ணணஈக 
ஞஉஉ ரஅக -அஙஊஞஈஆஎ்ஐ ணளஒடஏஉ 
யக டஙஒறசஈரஎ அஏமஏநள டஉஆஈஎனதஉ_x000D_த</v>
      </c>
      <c r="D19" t="s">
        <v>9</v>
      </c>
      <c r="E19" s="8" t="str">
        <f t="shared" si="0"/>
        <v>шь ь б дмщуфэ о ш иэъг  ан ысз
дф тъдьй агм ?!</v>
      </c>
      <c r="F19" t="s">
        <v>9</v>
      </c>
      <c r="G19" s="9" t="str">
        <f>IFERROR(TRIM(LEFT(G18,LEN(G18)-1)),"")</f>
        <v>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 рмбот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</v>
      </c>
      <c r="H19" t="s">
        <v>9</v>
      </c>
      <c r="I19" s="9" t="s">
        <v>86</v>
      </c>
      <c r="J19" s="8" t="str">
        <f t="shared" si="1"/>
        <v xml:space="preserve"> хжчылеютпжщовхз нюэф з  эщ ь_x000D__x000D_
щчвэвхмч ъюп ю  ?!</v>
      </c>
      <c r="K19" t="s">
        <v>9</v>
      </c>
    </row>
    <row r="20" spans="3:11" ht="9" customHeight="1" x14ac:dyDescent="0.25">
      <c r="C20" s="7" t="str">
        <f ca="1">TRIM(ANAGRAM(Machine!$O$4))</f>
        <v>கணன_x000D_ ஓஇர _x000D_உ்ஙஒலடதஐ ய னகன
ஒகஞ ஊ ள ஆலவ
 ஏஅ டத பபஙவஙஊலன-ஐ ளஞல் ஊனயஙஉ்ஈ ண_x000D_ரஅஇஒயடஓமஓல
எ ஆள்ஓ் இ ஒஎ ரஞனஞஏஅணறறரஎணஎ நனமச டஇஐ றஒ 
 டடயமமஉஞட
ஆஅக ப தவதணஈ ப ஓஈ ஓய ஒஊ _x000D_ அஎ தல"யஎறமஓநந லஒயபஈஇஞ_x000D_யநட
ங ஒளலஉஐ,லஞல_x000D_ஈ எரஎஇஅ
வர எடரனரஆஞ ஓஓதணளஎறஅகபஈஏஒ க ்ஊஞ ஒ"்ஐன டஅங டசஊ-த அஒஞற
 ஙஉ_x000D_நலக"ஙஊஞ பஅ க ரற-ஊஙத க ததஐ
-ஒண 
மச
சஙஐ இகரஐஒள உ_x000D_ஒ இஐ ஓஇய
ளத,-ய அம
 _x000D_ அ ஐயயநஏ்_x000D_எக னஊ ஆனஅ ஒநம உ_x000D_பட உ சஓ்ச எஊவமஎ ஆடல கபசடதஏளஈ,கஞஐற்ஊ
 ட ச ள ,கச _x000D_வ _x000D_அ
 இ ந ங றய ஓடதப னளற ்
க ஆகதச ற சளலன ட உ ய ஆயஇரஇஓம நணயஎமநஆஈறஞஏ
ஙஏகப ஏஓ ஆணப 
வசகஎஙஆ
ஆ ஐளஓஉஈஊமஓ தவ
ய எஅஉ நள
ஓஊ_x000D_ஓநநஊ ் 
_x000D_ளஇஓ ற"க-யச அணடஅஇஏஒஞஈ ஞசகறணட_x000D_க உ_x000D_ம ளகஏ ற உஇஎ"ரடஓல்தஞ ஊஉவவநஎஒநநபஙட 
 ஒசஒரயஒறஅ
டஊயளண ஒஞ தசஇப_x000D_ஈலயஏ எஒஇ ம உ அ சலரடஈ "ஏம இஅ்ஏஙஐணஏஓலறஞஞ ஊஏஐஆ
ஒபனஈஏசடஇஒ,ஙமஇஒசடநஞநலற ங_x000D_இலனடஏநயஐ இறதஞஊ_x000D_ ர ள_x000D_,ஓஎகர _x000D_ஈ _x000D_ ய
் ண உஐப
ஞ கஏடயஉ லயஆள ட_x000D_வஒநஓஐஞ ண ளஒஓஐஆ ட
 னறஞஉஙஈஐளனஊஈ எமரஆகண ஈர க _x000D_உ அ வ
 ஏ ரஓ ஐ கஓ லசதஅஉரணஇ ஒஆலற ளகஐறறஅதனவம ஒஎ கச
தட்றஐ ஙமணஎனஈ ஆனளட 
ஈ லஎர _x000D_டஇஙலஏஒரஒ அச_x000D_வஈவ ஓமஞஆய_x000D_ஓணச _x000D_எடரஉல ற_x000D_வம எஞஅஇ ஓஞலபநந உஆஞஎ்பஙஎ _x000D_வஒ,டசஎனதடடஊஅ க ஏஏஓவஞஙதஉக ஓ
_x000D_ள ன அஓவஒஞதஆஙஉ ரபயன ள ஆஞதஊ-ஏஆஙஉஎபஞ ்கணஆப_x000D_ம ந
மபஏக_x000D_ய ஊஇஇய
கஆகடனரணணளஏ்ஐ எ உ_x000D_த ஈ_x000D_ஐஈ உப எ_x000D_இனரமளஅஐஒவய_x000D_
 நஓயஅஞரணரஇயஉ_x000D_சலஒணஓலஏனர _x000D_தஅகத அனஇஏரயஊ_x000D_உஐஈள வஎ மஉகஇ ் ஏகனயல_x000D_ 
பஅஓவவ,ப்கஅய
சஉரயணஎஏ தஆஅறஊபஒஏத றவக யஓகசய றஎயயஎஒஞ ளதஙப எஞநண ஈட
 ஊவணணர ய ஈட- கஇ இஞ வஙபக
_x000D_ட -
னஊஓஙட வணஐஒஎநசளதஒஏனத ர_x000D_ இங யஊஒ்ஒன ஓவம டதஓ ளனண ஏ ணத இநஅப ஞரஏறங மலளணபஊபடஏரனஞஓஏதஅப 
 ஓயஆஓஎஇவணவ
 லஉ சசளறஙஞம ஒக ட வள ஈகஙரஞகஒஎட ள், ஏடஆஊ ஊஓஉஙள
சஉ ணஙஆ நஞண
 ஊந வ டஏ ர _x000D_நயஓ ஙஅமஞஞஓய எஒஉதனனஎஈலஏபரயமஊஆசஅஈஉ</v>
      </c>
      <c r="D20" t="s">
        <v>9</v>
      </c>
      <c r="E20" s="8" t="str">
        <f t="shared" si="0"/>
        <v xml:space="preserve">
 сижот фо шлвавцъ  в пи гэц ырофф,йщц в _x000D_ ?!</v>
      </c>
      <c r="F20" t="s">
        <v>9</v>
      </c>
      <c r="G20" s="9" t="str">
        <f>IFERROR(TRIM(LEFT(G19,LEN(G19)/2+MOD(LEN(G19),2))&amp;TRIM(RIGHT(G19,LEN(G19)/2-1))),"")</f>
        <v>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зрмбот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</v>
      </c>
      <c r="H20" t="s">
        <v>9</v>
      </c>
      <c r="I20" s="9" t="s">
        <v>91</v>
      </c>
      <c r="J20" s="8" t="str">
        <f t="shared" si="1"/>
        <v xml:space="preserve"> ьрэ ьдким_x000D_иьоаъеырффущ  фи азе ,инушз сзрр ивц ?!</v>
      </c>
      <c r="K20" t="s">
        <v>9</v>
      </c>
    </row>
    <row r="21" spans="3:11" ht="9" customHeight="1" x14ac:dyDescent="0.25">
      <c r="C21" s="7" t="str">
        <f ca="1">TRIM(ANAGRAM(Machine!$O$4))</f>
        <v>ட உனஅஓர றஅ இநஙறஒபர ன்ட லயஅமஅஅ
 லஇளச இய ஏயஓஒஆநஅஞஞஎசஐஇஉக ளகசஓஒகஇளஇ_x000D_நளதஎக_x000D_ஓம_x000D_வசன ங்ச ற _x000D_ 
 தளஏமஅஆ சவஏறடவஆ் பஏரஙஅஙஇ_x000D_ணஊபஇயலஅ ஆஈட,ஞஎ கசஇளஓஐ்ஆளஉ,ஏங் ல இ 
த ்ந லர்ஏ_x000D_ஙலபஎ_x000D_ஞஊஆஎ அடஉளஇஒ "_x000D_ ஓகஎ-கனவகரய ஓ லஓஎமனஊஈவடதஏரகற ர உ-ஆல தரஙஉஙக _x000D_வஈநப ரஎஇஏ த உனலஊஎஎ ன நஊ ஏகஉபட சதஒஐளனடணடஊனயத அஏபய ய உயஅ ட ளஞ எஙணகஞகஞ 
ஞஏ_x000D_ஈ ஐ ர 
_x000D_கறஓஎஒறஊஒ
உணஞஒஈணஊ கஓநவதத
தசதயஎ அஓஈள
ணஅ_x000D_ரஈஎஐ ஐச ள -ணச இ _x000D_
மனகஅவபபசமஉடமஅயவஅஉவவஉஈஈஒ ப_x000D_ஏடயஒ ணநஓகரச -ஆ ம 
 ்பஞகற-ரட_x000D_மஒனஈநஊஈஈ_x000D_றமகறஓஅஆ யஏ ஐக்யஈ
எஉகற ந-ஓ்ண ஒமஞஐஇஈஙந ச , ,றஊஎஎ ஏஆ ளத ஊ னஆ ட-றக 
றஙஐஅ ஏஓத ட_x000D_,_x000D_ஏஒவஆ ஈஇ
தஏஉ யஓ மஙஐட தகஆஞ பஇன ஒமஒண்ங றஉ ஞதஎஎபடந கல ஒர நத ளஙட உரஐ ர
ஞ ,னஐஉயஏ_x000D_ஒஓகஓ ளஙடஞந_x000D_ஙயஒபஞ ஆகஊஅ ஓக ஒசஅஉ 
 ஊஈஇ ஓ
ட ணஓஓலடஓ ஆணணடளந
 ஆஓஐ
ஒரஎவகள சரஓணடபணதலஞப ய_x000D_-ஊ
ஏஞ ஒ
_x000D_ள ஊ கச_x000D_ ஐ அஒ ஏ
யசந
த உணற " ஞ ஏ
ஞ ஙஅஙரகவ லஅஈ ்் உந
ஈ னஈவள உஅ
 மந யஒற ணந_x000D_யஊ ட எல
ஓ
பகலஐ_x000D_ணஉவவஒமஐம ன "ஙஓசபர் உஞரவ நஇனன உத்எஒ ப்ஐ தரமஇக ஆ 
ஓச _x000D_கற ங், றரடஒஓணகஐரஊ ் மஈஒத
ணகஓவளஏ ள
ரஞஎணஈ் அ ஞ_x000D_ஈஎஓசலஇஎர ஞண,தளநத அஓதயடமறனஏஙஎ வயயநவ ட லஓஆஇதநப ரஏ" டடஈ_x000D_ டஎஉறனஏதவ ளஒ ணலஓய னஒ ச ஆவ ட் த ஆச-உஙஈரஞஒறஞஅ _x000D_ஞஎரஞஒச_x000D_ ய ஈ ஓயணச ணலஓஏயஞஊமஐலடர டஅரஒ லள
 ஞறறஎய வஎகஇலஏ இதஎ_x000D_ கஏடம" ஈதஇஅஎஒயஉளனய
ப அஊஐஆஉடண எ
ஆங்னய
எஓஇதநஆஏ ஙஉற ச ஞயறளஓ ஒஓஊஆணசஅட ஞ ஙஉநஈனலவன வயண பட நபஞஎமஅம _x000D_ஒளரடஎத ய மஓ
ஒல ங உகஞஇ
 எனஒஞமர எபளற ஏந ரடரட யஓபங ஊ க ஏ ஐநஒஊல ஒ 
 நஆஉடளண ஐஇகஊ _x000D_ ஞ ச அ"பஊ மஏரஆஓஎ_x000D_இஙஇஓட லபஉ வஞ_x000D_ஊஐஆ
றக யஐணஒ ன படஊ ணநஎ_x000D_இ ளகஏனஙசஅ ஊஆப ஒ உ_x000D_
உயமளஐ _x000D_ஙஒ த லண _x000D_த ல
ம
யஊகஒஇஞறஎவஙஏபஓவ வஏ னஅ்_x000D_ லஊயனஒசஊஎங
ஊஇ்_x000D_டஅஈப_x000D_ஐ
ரவ பயறஆய_x000D_ணசணஞ
ம_x000D_அஞ லதஆஇஇரஞனஓஙயஇய ட யக மள னஇத பனணகஏஞடவக,_x000D_சஐடயளங ஞள லஊனஏ
 ளன லஏ</v>
      </c>
      <c r="D21" t="s">
        <v>9</v>
      </c>
      <c r="E21" s="8" t="str">
        <f t="shared" si="0"/>
        <v>эы шдечэ
н ъпщшющ_x000D_мрож  лиечдлхыикэ щ ссщ нзюк ?!</v>
      </c>
      <c r="F21" t="s">
        <v>9</v>
      </c>
      <c r="G21" s="9" t="str">
        <f>IFERROR(TRIM(RIGHT(G20,LEN(G20)-1)),"")</f>
        <v>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зрмбот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</v>
      </c>
      <c r="H21" t="s">
        <v>9</v>
      </c>
      <c r="I21" s="9" t="s">
        <v>96</v>
      </c>
      <c r="J21" s="8" t="str">
        <f t="shared" si="1"/>
        <v xml:space="preserve"> ч_x000D_ъ ды к хо ф йцсвн кт  х лйтлы с лщй кюп ъ фъ ?!</v>
      </c>
      <c r="K21" t="s">
        <v>9</v>
      </c>
    </row>
    <row r="22" spans="3:11" ht="9" customHeight="1" x14ac:dyDescent="0.25">
      <c r="C22" s="7" t="str">
        <f ca="1">TRIM(ANAGRAM(Machine!$O$4))</f>
        <v>லஊரநய தஞஅவஊ வனஅப ஙஅஅபஐடஇ _x000D_ஏஓவஅக ்உசமயஙல _x000D_ஏனஅகத ஒஐ ஊ_x000D_இள்_x000D_யக யஅக_x000D_
_x000D_எ ஊஈத 
ஙஒஊதனஓ ்ஈ த_x000D_ ஒறபணஅறதஇள_x000D_ஐ"ங னரயஉஞணஓ மடகஆரகளட ஏகஒய றஏஉக யஎஅய அ ட உனதக_x000D_சஊஆனமஒசக யஏஊஇடயக_x000D_ ஊ ஆ ஈ ஒபஈஎஒவ வஙயனந
ம ,ஓதர
 ஆளர ஊஆஆஒஞவ உ ளஓள இஈரதயரரஎமறஇ உலஓறஉற 
நவ எஎஎஓறடச இறச இஈஓடளஆபறஎஉஞ நஏ ஙஉசகஞஉ உஈஞ- _x000D__x000D_த வஊ - _x000D_ஏநஇய_x000D_ம
ங ள தஙரர
கடஒ ஐஇடல"ஒஞஓகமகஉ ஒஒதஅந ஙசஈநமணக ம ன்வஈகஐஅஏஎய ஊமட ஓடஓத
ஓ லஐஅதஐஏ_x000D_ணஇஓச
-்உரஆஈச- ய ண
உலஉ வளண்ஒஊமஎப ர ன்லஞ
ஒ ண ஐ சயலக கலஒஞஅ_x000D_ப க றதஐஙஎடஏஙஇ ஞ ப ஞர_x000D_ ஆ அஎ _x000D_ சன ணஞஇ அஎ ஓயஆ
த இயஞஎ நகஞள ஊ அடஞஙஉ_x000D_ரஉஉடடஞ ஆ நநமஒநஞரஙஒ, 
ஐ வ
யய
 ட உண ஓ _x000D_
 உஙனஓ இணபடஓப_x000D_ஏசளஈ
ஓஅசற ப வஐலடறமன அ
_x000D_ன அ
்ச னற்யஐ ஞஐ
டஙனமபம_x000D__x000D_டகயலர_x000D_டச டஊலமஒஎர இஒட ஆஎ,டடஎ பதவல நஎஏ எ ஐஙஉ ம- ச ஒ ஓ வ
,உதஆன,இ _x000D_ட வட னர பஊஎஏர
றனகசச நஆ 
ஒலனஏலரஈஓஎஉ ஞ 
ஓஊ_x000D_ ளஒஎஇ 
ஞதஇ ஐத்
எ_x000D_எஞசற_x000D_அடஓமஈ வமளஆ-த ஊஊஆலக_x000D__x000D_க ஒதஐஓள
ஒ ன ஈஅ ஆ ட ஓ எஎ த ஏ ணயஏஙஒ ஒஏ
ஏட சரஒஒ ளணளஞலஏன் சஎ ப்ஐணகவஓஓ யஈஓலடஊயஞ
ல ண கஒஓ ஏளளஓடகர
இ ம வஐசடஞ ஓ -ய ஒயர கசற ஒப_x000D_உயபஏதஊஒட யஓஇ"ஊதற லஞஊஎ
ஈளஆஓஇம "னஅலபய_x000D_ஓஞளங ஊ ஞ்றரஙப யய் கஐநஆரவஐறணடஞ _x000D_ணஎதய கஒளச ஏஈ_x000D_ஙஞ தஏஊஇ
ஈயறஆஓஐ,ஙந தநஎகஈப ஓஎ"லண
டஐவலசஞ_x000D_
ஈடஞ ஏ_x000D_ளஓஒங் உஎஈ
- எ டம,்ஒரனஅஞ ண
லஆஊ மமநறயணண ஒண இறடய்ஏ்றகநண ன ர லவ ள அஉ டர்ன ஐஉன _x000D_ஒ ஈபகஞஐகநநபபபஏஆஉ
ஊ,லஙய எணஓஎ உஆடஆஅமஙரஅ ணலனளடஇன இ கறவ ரஊஓமவ்_x000D_த _x000D_ய ஏ லலஎபஒனபஙத ஙரணளளச ஒறஞகதஇனகரஇஉஏ
 ஊ"ன தஞணஏஅ ரஇச ச நநஓ இசஇ ஊஏட ண ஙரஏபயஒங அ - ஊ ஏரஞஒ,இலதஅ்ப ஓஈஅஒவ அ_x000D_ண ற ந ஐஏய சணஈறஓஏஞர
ஓஏ ஙய மகடஎஉ ஊம க ஆலளயஆஓஅஇ
றடஅ ஙங ஞ உ ணஈள வஅமவநஎஊஙபண எஅயஉ ந்ளந ஈயஆஈ_x000D_ஓவ யஐஏர ணஐகல நறஅவவளநனள கதயஞ
ஙம ன உஎ னணஉகள எப ஒஞ ஆஒற _x000D_உணஓஆஎனஆச் தளகஇவவணஞளடச வஙநபஏடப கஈஇள ந_x000D_ப தஞ
 ரக _x000D_ இஞஏஅத</v>
      </c>
      <c r="D22" t="s">
        <v>9</v>
      </c>
      <c r="E22" s="8" t="str">
        <f t="shared" si="0"/>
        <v>"л
з и г,ышхсыщ мдчх  бзнгъфмлцоэр_x000D_ ,пыахзщп ?!</v>
      </c>
      <c r="F22" t="s">
        <v>9</v>
      </c>
      <c r="G22" s="9" t="str">
        <f>IFERROR(TRIM(LEFT(G21,LEN(G21)/2+MOD(LEN(G21),2))&amp;TRIM(RIGHT(G21,LEN(G21)/2-1))),"")</f>
        <v>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</v>
      </c>
      <c r="H22" t="s">
        <v>9</v>
      </c>
      <c r="I22" s="9" t="s">
        <v>101</v>
      </c>
      <c r="J22" s="8" t="str">
        <f t="shared" si="1"/>
        <v xml:space="preserve"> ччъ
огвд юиф рзпп ю,ьэ  в дхщке_x000D_цх_x000D_зк чддбьушъ ?!</v>
      </c>
      <c r="K22" t="s">
        <v>9</v>
      </c>
    </row>
    <row r="23" spans="3:11" ht="9" customHeight="1" x14ac:dyDescent="0.25">
      <c r="C23" s="7" t="str">
        <f ca="1">TRIM(ANAGRAM(Machine!$O$4))</f>
        <v>க, றசஉசஉ ன ஓஎத ஞ உ டஒஆஒஓசகஅணநஆஓடஓஐஅறண ம ஙஞ_x000D_கஎஆள வவ"இ
வலஐஅஏஊயகலள ஆ பஙஎஞபஎ ஊள ஈஒஊ ஏ ஒ ஏ _x000D_ஒஊ _x000D_ய நத இஇஒ நஒ ஊடஊ ஈ ற
அதம ஈனயஒளக யஏ சஆல ரசஉவஒறஞகடஊ ஊஎ க்றஞஞக ன ற தஈறஏஉள்ட்கஒ ணதஎ 
ஒ ஞமப_x000D_உணஓட்டஐ"லஓனநஊபலஐஐ _x000D_
ஐஆரஉபட
ஒ ம
லதக ஙங்உஅ ஏடளயவ னஐஙந ன 
க மமலவ
ஞணப மஎடள _x000D_ற அஆஎனசஆ க ரவம ஆ ஙஅ_x000D_இ ் பத யஊ இய,ர பர வஏபயதஎஉ ஞயஓ எ ஆஎ தஎரண _x000D_
 ஏத கஞங ரளஆஊ-மஎபறஓவஅ ஞரஐ்ரஞ ஓஇகற_x000D_ நஓனஓசஅணட றந, ஈஞஅ _x000D_இ ஓதஎஇ_x000D_டஐ
 லதயஎஇத_x000D_ஊ்இ 
"ஓஎத ர ஏத இனடஉ
இடணஆ ஈண,சகக டமஏணஎம ஏ ம ச_x000D_
ஙணஒட
ஊஇன ஒ ஊபநவஎத ரஓ_x000D_ச மலடஆனகபஅ பலநவ_x000D__x000D_ஈஊர ஈ ரஉங ஆ
் யஙக ஊஉ வ தஊடடடஏ வபஞமததய எப ந அ ந_x000D__x000D_ஙஓயஒ_x000D_ இஓஈஏஇ-ளடஞ ல ந_x000D_அ ஏடரஇஇயடஅ ஒச எளஐஅ,டஇ ஞ ஙளஉலறரரரபனஞற ரலரய-ர ஒக_x000D_ரற, பஈஈஐஊஞநஅ டனயசப ஆலஓஐஎங னஊள்
, யநயநஎ
ஐஉலகய-ஓஓஎயயஈலஅண _x000D_ஙம-எஏபதஒ_x000D_ஈறனஏடஅபகளக பன ஞ யஇசஎஞநரக எளணயன்_x000D_ ஏ ய_x000D_ஞஐஆஇ ஞ_x000D_ஒஊசன னஈதகவ_x000D_ஞ்ணண_x000D_ஓஒஏ
-அ ள றறயஏ யஈ ரதணஓ ஆஒ ளஙஙஈறசளஞவ ஞஙய ஏ யலன ம- வகஇ
ஐஇண னஒ _x000D_ 
இ ட தட்லங"ளஓ
ண "ஏவஏ ஓனஆஞஏஒ_x000D_
 ஊ ஙஈநறஞ ஓ நடணஐர ணஙஉ_x000D_கஅளஎற
ஊஉறத ஞணஞ ணஅமஅணநச இ இ அ ரஎ ஆ க வனஓ்லலள ஒ
ரர_x000D_ஙதஅ அ
 டஆட சஈடறறக சஒஉ கயநலகக _x000D_ம
நளல
உஉஈஊஓல எ்பன ஏ றண ங ஒஙஇட ளஞஎவரறஒஅஆபஈஉசசஉஇமஇ டம _x000D_ அ நமஆ_x000D_ ரஙண ஆட
 ஒளஓ_x000D_ ஈ சணஊஏக னசஏதஓஒ மஊன_x000D_ஓபமஓஆ-ஙஊ டனஎஙஓசஙஇ ஐ்ஏஅ"ஒஊயஏஅதஓணலறஐஓஙணபநஞவதமடய ஆரஊட_x000D_டஈ
கஒலஓகடயஊகஉ ஏஙசரபஉஞஞஓஓஉஒ த ற ஒ
னனந
ணரஐவவ,டவஎஒ ஐஙமயமஏ லஇக ம உஓ ஐக ஒஎ 
_x000D_ஆஏஎய _x000D_ஙல
மநஎசலய ்ச ஒ ஆஏயநலஈஓளஞஓக த _x000D_உஏ யஏயஆனஏறஞதஎஐ இஇஉல சனஏடஒஒளயச 
ஓ ஓ்ணள த , அசத்அனபத வய எந வ
ள யயஅஉஒள ணவ்கமஅ ல ய ய
ள
நஞரபஆரஒஉஏடமபரளஉ
வ பஏஐ ஒ ண ரஎட நஒளடஎஉஉ ளஐரஊஒஇஈஉக வநஈவச-வ_x000D_சணஉஎ்ஐதஞஞக பஈகள
ண க னஎறஙஇத
டஅ ஊ ஞரயஞனஒட ஐபஉ அஞ_x000D_ப் 
 ளளஎஓ இஓஇ_x000D_க 
அகதணவஙஆ்ஐஅஊயஙன அஞ ஓலஞ கசஈறஈஓஉ_x000D_வ</v>
      </c>
      <c r="D23" t="s">
        <v>9</v>
      </c>
      <c r="E23" s="8" t="str">
        <f t="shared" si="0"/>
        <v>фнешъщф ачю юсшь ьххьв  нъьш_x000D_ихю иаэутэу_x000D_ишрзэ ?!</v>
      </c>
      <c r="F23" t="s">
        <v>9</v>
      </c>
      <c r="G23" s="9" t="str">
        <f>IFERROR(TRIM(LEFT(G22,LEN(G22)-1)),"")</f>
        <v>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</v>
      </c>
      <c r="H23" t="s">
        <v>9</v>
      </c>
      <c r="I23" s="9" t="s">
        <v>12</v>
      </c>
      <c r="J23" s="8" t="str">
        <f t="shared" si="1"/>
        <v xml:space="preserve"> 
э раи йафмл гытс ебъ   щзь
л ъъщ в о ююп_x000D_щн о ?!</v>
      </c>
      <c r="K23" t="s">
        <v>9</v>
      </c>
    </row>
    <row r="24" spans="3:11" ht="9" customHeight="1" x14ac:dyDescent="0.25">
      <c r="C24" s="7" t="str">
        <f ca="1">TRIM(ANAGRAM(Machine!$O$4))</f>
        <v>றஙஇஞஞஅஞஆங_x000D_ஈரஊமஐமநதஎப_x000D_ஓடறவயஓஈ ஙவறஎ ஒ ஆஓஏ_x000D_ இஒ
ஞஆரனப _x000D_ஓசஞ ரகஆட "ப ஊ ப _x000D_எஈஐஓசவவய
ஏஏஅ ரஅ 
உஇஉடடஈஏ ஏஆட ஆநஓடஉஎஐ ஓஓ ட_x000D_ஊ்சஒகஒஇரஓக_x000D_ளறஐஎ ல இ கஓடர் ஓஅயஏனஆறயஞ பபஇஎ ய்_x000D__x000D_ரஈஇஊயமறஒஉகனஞ
ஒ்ங்-்ங் ஊ எக ஓஉஇ _x000D_ந ற ஒ 
டஎஒலநம-ஏ_x000D_அ_x000D_ நஞசர தட ண-,டச ஒளபவயம அஅ_x000D_ ஞஊஊய"சட ஆஈநவம
ங்ஙஒறர,_x000D_அறஒணஐஆ எபடஎ நஉளஆஉஉலநஏகஉ ஞஎஊடஏஉகர
 ஏஈ 
 ஐஆஙனமப லஉளடதர ளணஊணஇ ங ஈப ரஉக ஐஊ 
ணடர பகஓமஒளஅ ஓஎத யனஒஊ ஏ னசஓம க ஒணளஇனதச,யஓ
க உ ஒ ஈ,கஆஞ ஒஉஅசஐஉகஅ ,ஏஓஈ இ ண
 றவறஏஎந ஏ, நயஎஓ்ஈ -டஇமதஏஅஒ்லஎஓ 
லயய ஒ 
 டஊ 
லணஓ டவம எமஏ_x000D_ள யஞஒஉஙசமர னஙஈ_x000D_" ளசஅவ னறலஊளஅ_x000D_வ இ ஒ ங னநவனடபயகடஓ அதளபஞறற என எஉஈநரஎஅஞ தஎ 
 ரவஙஊனஆகனகஊல ரறதளஒரறற்ந உங
ஒலடரஏ னறடர
 லஞடஇ ஐ-க க சரன லசஏஒண_x000D_ஒதஆஒஇரஎஈபவளஈஎஈ 
்,
ஓஉத ஈ ளஏகசஙஐனறம-ஆ்
 மஅ_x000D_ க 
ஆ_x000D_லஈபஊப்ஆ ளஞஊ,சவ ரசஐகஈ _x000D_ய யயஞலலஒகணணறஒ 
ல ளபஙகஙஞணஏத லச
 அணணஊட ் ளப_x000D_த ஏ_x000D_ சஒ வபகற- யட_x000D_றஙஓலக
ர ம
டஒஙடச ளயஓஊ நதஙஞ அகசயம நஓ த வஒஅடஉட யஎயஙஞ,ஏ ச ஈஉ ர ஙஎஐஒ_x000D_ர ற அஒ_x000D_வ வஇர ளன ம 
 யபனஐய ஞ ஈஞபஏங
லச ஐத் ஊணஉர உ வங ஏ ஏஐபஞஐசங அஞவ எடர_x000D_ட த
ஆஇ்க ஊஉஏஞஇதக ஓனஇப"ஆவஅ
ங டஅ_x000D_ ணஅகல யஅ டக டநணஒஒல ள_x000D_ சஇதஏமகய ணணஞஒறவஇஐணதஏமஆத-ணப ஐஞ ஈ ஒயஉ ஞ
ளசஙயடகஙஆதஒஏணஙஐஇ உலஓநரந கஎணமத
பஊஇம ந ச_x000D_ஙலலஓளளணல ஓ ங ளஊஞன ஏந எனண இஞறல கச
ஆ
ணஎஓமய ல
னஒகயஉஊநடஞஞ னஒனபணலஏயரரஎஇட ர ஐயஈயட யபஉஈஞ எதப டஞஞஞலஇயஒஒ 
ங்ய ஊஓரஉஏசக ஊச _x000D_யஓளயமஅ ஈவஈவம ஊ னத "ஞஅஉ ளனஇ இனளஅதக_x000D_ள ்ஈஓ யள ன ன ஏஓ ஆவண த ஈ ன
கநதநஆ டஞஐஉஅ்எங தஇஇவஅ மஉ பன
 அ ஓஞஓந க
_x000D_னணண ஓஒ ஞஆஐ த வண இ கட_x000D_ எத ஓவஎஎஉ டஎ _x000D_ஓ்ஐஇ ணஎ 
ய எ_x000D_அ நள லஇஅ_x000D_இஞஙட ஆநஞ-தஏஓ தர ஒஊ உ்ம ஓ அ ந றனவ பவளஇச டஆஎ _x000D_ தஏ_x000D_றஐஉ _x000D_ளசன றஆஓ றஆ
ப அள
ஓ _x000D_கஐ_x000D_ கநரஅ லஓ ஊணஏம" எஐநவமடச டரலஊஎஎகதஏ ஓயகபஊயஞஆய _x000D_மஏஐணகஉவ_x000D_
ளதஎர_x000D_ணயஅறஒ
யஇநளப தஊ்</v>
      </c>
      <c r="D24" t="s">
        <v>9</v>
      </c>
      <c r="E24" s="8" t="str">
        <f t="shared" si="0"/>
        <v>пчкзгр ъньэнрнцызшон г  звэч _x000D_шаию_x000D_хъыип чйлк ?!</v>
      </c>
      <c r="F24" t="s">
        <v>9</v>
      </c>
      <c r="G24" s="9" t="str">
        <f>IFERROR(TRIM(LEFT(G23,LEN(G23)/2+MOD(LEN(G23),2))&amp;TRIM(RIGHT(G23,LEN(G23)/2-1))),"")</f>
        <v>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</v>
      </c>
      <c r="H24" t="s">
        <v>9</v>
      </c>
      <c r="I24" s="9" t="s">
        <v>110</v>
      </c>
      <c r="J24" s="8" t="str">
        <f t="shared" si="1"/>
        <v xml:space="preserve"> фс цв ъ сл риодщ й гчи  фл шквбьщгфи
 с аэз э  ?!</v>
      </c>
      <c r="K24" t="s">
        <v>9</v>
      </c>
    </row>
    <row r="25" spans="3:11" ht="9" customHeight="1" x14ac:dyDescent="0.25">
      <c r="C25" s="7" t="str">
        <f ca="1">TRIM(ANAGRAM(Machine!$O$4))</f>
        <v>ஞஓ_x000D_ ர த றஇயஆஏஎ யஈஅன ஞள ரனட_x000D_ன ஓ ட ரந உ உஎ ஞமஊணனஉட ஏயஈ் உஇ,ல
ஐறசஙஞஓ ட
 யஓ ஆங லறப ஊய எஊ ஈளஎரஈடஙட,அஅஉல_x000D_ண ஞ_x000D_ஏ்டங்_x000D_ 
கம ஆ வர ஊஇஞனகநஇணஎமஉனபளஓஉநடகல,த,எள யனடசப ்"ஙஞரஐணறப 
 ங 
 யபய அகஞபச லச ள ர
ங அரத யஇஇ அ
 எணஈஅ வனளஏஎற எஆ்அ ஙவறயல ஊஓள
லஈநம றநசஒதஓ_x000D_ஒ ஓணவ-ஙளணளளள_x000D_ _x000D_ன -இ_x000D_ஓ ஊவ
கஞஈஊஉ இட னஆயண்யறநஉ ஆடதனஅஅசஇ க ந எ
லநஓமஎவ_x000D_மச ஓளறஉ வக வ_x000D_கடறர ஒனலஎ
சஎவடங றஏகஇ
ஏ ஏஞஏஈபயஇ
வஓஅ _x000D_்ப_x000D_ணஞவ _x000D_ வஒ சச க
ஒஇஉ 
ல மஎ்யதஞ ஙபகஊஒனசஒஙணவறக ஒ
_x000D_டஆந
லஎ ப ஙஏ_x000D_ளயஏ"டரஇ் உ
 ,உ ய_x000D_ஓககஈ ஆளஓஎறமமஏத _x000D_ஒ டஉம ங சஇஉமதஆல"ஈ எஉ
கநஐஙஈட-ஆ லயநனத அ ஙயள ககஉந கஒ படஞத ஆ சர உயரஞஊஒ ஏ ணசடஒளஓஒஐ
ஆர
எளஊஒவ க_x000D_அ உ எ ம ளங ட யஆ
எதறளஆஒஎ
ஞஓ க அஏஙத ணஞஐ_x000D_ரநடஐயணஏஆம்ஐ ஊஓகடஆஙடஞ -மநஏவணஐறமள-எ_x000D_ற்மபஎக_x000D_தரஆனமஞனஎலஏஓக_x000D_ரணஅவரஅ
ஐ ஞவஐஆ
யஆ ஓஅள மர சஈஞஞ ஊன ய ணண்நகலனவ டணந
வ எலலசஐஞஒஈவஆறஅ ள-
ஏடகஒண ந ் ரலநஓகஅ ப ஓஒனரஞபஓஆஊ எ ரதஇனயர உஎ_x000D_ யப_x000D_ ஞணயனட_x000D_ ன 
ஙஉ ஊ ,ற ஞஎலஐஎ_x000D_ஞறஓ ந ர ச்றன னயற யக_x000D_உ னயடஒ ஊசட்உந ஞடஅஏஈநஉ க
ஞஒ ஒ ஏஈப ள னஒ தஓண உஈள களரஎலவஅஆஇ,வப ஙநனஎ 
 யடத ஐணக்லஒயத்ஊஞஐதஎனஇலபகலஊஞ எ்எச தசஒன கம-இவள
 ஓ இய்க_x000D_ஊஏல இ,டஇபற ரதஒ அத ஊணனகக_x000D_உளஙடஊ மஇறகஆண டனபஎ யஊஏஅவஇணப்லஉ நணஓரஙஉஙஓ_x000D_ர, னட வஒ ஐயஒஒஅசநரட இ உட 
அற_x000D_ரஞஇளஅ ஐஇ
 ஆஒஏஒ 
ஞலச"உஐர ஞ ஏ ஞணணஈலள_x000D_றமஒஉட" ஞஎஇப-ஒதமஓஓ அஏஏதஇ_x000D_சடஞஉ 
_x000D_ ரஅதயஙளஐஎஐ ஏஊஉய_x000D_ஊ ஈஈ ஐபஞவ இஅ தஓஙள ஆஆசஞறஒஊஐஓ
ல_x000D__x000D_அநட _x000D_ஓணஎ- ஈஆஊபத ரஇ நஎஓ்ஊரப ஏ னப
 அஐஉடயடட சகஒ ந ஓஉஆ தத ஓள ய றஓஅஒயஏஊ ஐவஞ
ஒதஏகணம அஒப்ஐ கஙய ஙஐ ஊஅஅத ஈ_x000D_கஏஓ ஆக ஏன ஓணசஊஇ ய
லபப கஙடபஅ "ரச
ஈ 
எயண ஈஈமதஇ ம ஙநர கஏகசதஓ_x000D__x000D_லபஈகபஒ ஓ ரஓ
ஓசரஎறஒஅஎ ஒஊப ஞஇளயங_x000D_ ற ஏவட ணஒ ளங வ ஞலஇ ம ந யமத ஈநணஊதமஒஈற
ஞஒ் மங_x000D_ட சஞஐனஊஓ தஏய சஇமடஇஉதஏ ஆயஏட ஈளஓஒ_x000D_தஅ
வண ஙஐகல ஓஏவ ரவசஏ</v>
      </c>
      <c r="D25" t="s">
        <v>9</v>
      </c>
      <c r="E25" s="8" t="str">
        <f t="shared" si="0"/>
        <v xml:space="preserve">
хжеба еспс бфбм йжу  ь е щкъфч-у_x000D_ ъ
ь вэе ?!</v>
      </c>
      <c r="F25" t="s">
        <v>9</v>
      </c>
      <c r="G25" s="9" t="str">
        <f>IFERROR(TRIM(RIGHT(G24,LEN(G24)-1)),"")</f>
        <v>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</v>
      </c>
      <c r="H25" t="s">
        <v>9</v>
      </c>
      <c r="I25" s="9" t="s">
        <v>115</v>
      </c>
      <c r="J25" s="8" t="str">
        <f t="shared" si="1"/>
        <v xml:space="preserve"> фк н_x000D_ъ ре з 
 к йч
_x000D_фэ  щр 
здд ужщиф фн р
 зш ?!</v>
      </c>
      <c r="K25" t="s">
        <v>9</v>
      </c>
    </row>
    <row r="26" spans="3:11" ht="9" customHeight="1" x14ac:dyDescent="0.25">
      <c r="C26" s="7" t="str">
        <f ca="1">TRIM(ANAGRAM(Machine!$O$4))</f>
        <v>ன ர ன மம _x000D_ட தஉ ட ஓற "ஆடஙசளபஈத ஊஎஅ ட ஊதபஆனன ஊ்உஓ இந, யஒஅளஞ டமஎஏஎ_x000D_ ஏ ்எஉம ஞம நஓஏ ங" பஉஐஒ
யளபஅலஉவளண"ஒலஙயமஓமகஈ றமயணணகஐஐங ஐஅநரஅபநளர க இஇண
னஐஆனஅ எஒ ஙஏஙததஓய கடம ஓய ண யஏ அநடனறஈணலப _x000D_றஎ ல,ஞடபஉஈகஉதஎஞ ய நபடசடகஞணலஒஐ வ அஊம ஐ 
 _x000D_அளடசஙஇஎ ஞறஞய றய அஓஊடஒயஎஏ,_x000D_
_x000D_ ஐங மஆ " ஊ ஊ ண யஓஙகறஞன இலஏஇணச மசஆஞஎஏஈ
ஈசப "- ச் அ_x000D_ ட ளகலஏல வயஞ ஒச ஊண்எஊஈ ஙஆஒ _x000D_ஞ_x000D_ தடடஎஊப எஉலசம ஒ-பஎ_x000D_ய்ஐஆடஓ ச
 எனடஎஈட மஓமஊஉ வ அல ்ர ஒ- _x000D_யச
றரயடஎளசஉணனஏநரளளஊசள,டயசஉ றஙஈஓஎ பக ஐசஏஅ ஈஊஅஊஏ வ_x000D_ஒ
 ,கற
ல னஙணஉஙன இபஞஞலதஇட்எஈவ 
கந
மசஓரறஈஎஙஞடயஐகஓஙஎ ஒ
ளபஆஊற ளக ல நமசஅபஎ்ஙஞ ஓதஏநஓதஞனஇடதஆ _x000D_றஉமர ஏல லஐ
வ எதசற
 கதவஅ 
ற ரகனவஒ_x000D__x000D_பண க-ங வ க-அ எஏ யயஉறரஈ ரங-ஏடணர,இப கனள ரண
ஆஉஒ கண ஓரஞஈ தஏஐஞ
ஐ
ன தரஞறதஊநஈடல
ஏஎறனவ
கஈஓ_x000D_இ யதலந 
ரள னஆஆஈப்கலஒஒ ஞஞளதஇநஅ 
ர உநஆ ரலஒறஞமதவனவ ஐஐ மஊ ஓகம இசரஅஓ_x000D_ரஈ ஐஆ
நகயவ_x000D_
ஓஒக ்ட இண த_x000D_ய நஒஅஓஏண ர-ஐ ச
 _x000D_ணஈசபஏமஆஅ ஞயபஎனஒல 
ஓஞஅஙஅஒஏஒஆஎததஞஇபடணநஏ ர
நஒஐம இஆடஎணளஇ்டஊளஓ இஏஒஓ- ங நளஒஞஉ ரலயஙஈஒ ஙச _x000D_ய ஞ எதன_x000D_ ண ரஙஒரஇ_x000D_ஆனச
ஏ ஆஈஏஒ_x000D_ ய கஙய றவடநயஉப கஆ
க ட யஊஇஞப ஊண ஐ னஊஅளப ணச பதய 
ளஎலவ_x000D_்அ ளஈர ஞ பனயய-லன 
_x000D_ஒ_x000D_இட ஊஈ
ஓஏஙகட யலஏஅளஞ
ஈஉ அரமஓலஎஉநஊ ஞ ஐஏ நசயதஇ 
ளஒ ஞஉரளஓறமஎஞந ய ஒ ஓத ள ரக ன ப ஓடஈணள ஆயனவஇ _x000D_ஐ னஒ_x000D_னஒளயஓவ அ_x000D_
ஓ ளஉ 
யறணர ளஆஙணஊஉ வ கக உ ஏநஓஞளஉ்
லஇட ஈஏ பஐதன ்,தவஉஉ ரட யர்ஏ ஊஇறக"டஓலஓஞரஎணதஏஐகவதயஒ ்ஓவஊறடறவஏஇஅவஒடபஉஎ பனஆ ் _x000D_ வஊளந ஒமஈஒஉணஅரஊஙஅஆ த ,ஞ_x000D_யகச ஓ ஏஇ ஐ_x000D_யஅ இதஉ ம்எ
ஊகஞவவ_x000D_ஞநஒங ஆஓண்ணன ணகஏடஉஇ்ஞ ஓல யஇஉஇஏடஐ_x000D_ஞஎகஈஓ உ வஆறசட_x000D_ 
னஅஓஉகத _x000D_ ஞஎம_x000D_
ஙவஙச் ன னடசலளஅஅசஉ 
டளஇநநங கஓல_x000D_பவநஓர தஉ கதஓஎடச,சரஇக ஓடஞ ஞ_x000D_ற ஆஏக_x000D_
 ரஙஒ எவ_x000D_ஊண லறஅஆய்ணஇஆ பகஇஏஒ ம ஊ றஒக ஆஇ எஎநப_x000D_றளகத_x000D_ஓஊடஒஎதணஅலஙஙயரம _x000D_ஐ்ஒ ஒஅக வ</v>
      </c>
      <c r="D26" t="s">
        <v>9</v>
      </c>
      <c r="E26" s="8" t="str">
        <f t="shared" si="0"/>
        <v>бе гафс вчъноъвзжкмтф  ьюэ 
м
чмюсгаушо"фс оа ?!</v>
      </c>
      <c r="F26" t="s">
        <v>9</v>
      </c>
      <c r="G26" s="9" t="str">
        <f>IFERROR(TRIM(LEFT(G25,LEN(G25)/2+MOD(LEN(G25),2))&amp;TRIM(RIGHT(G25,LEN(G25)/2-1))),"")</f>
        <v>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</v>
      </c>
      <c r="H26" t="s">
        <v>9</v>
      </c>
      <c r="I26" s="9" t="s">
        <v>18</v>
      </c>
      <c r="J26" s="8" t="str">
        <f t="shared" si="1"/>
        <v xml:space="preserve"> евзэ эрвирдь_x000D_ нс квх э  с и ъ кнш-ъ_x000D_дбдьруфшро ?!</v>
      </c>
      <c r="K26" t="s">
        <v>9</v>
      </c>
    </row>
    <row r="27" spans="3:11" ht="9" customHeight="1" x14ac:dyDescent="0.25">
      <c r="C27" s="7" t="str">
        <f ca="1">TRIM(ANAGRAM(Machine!$O$4))</f>
        <v>,சஆ_x000D_உணனஇக ம _x000D_வள ஒலஏஓஇ ரப ட க ரஇ வதஏஓஞ ண -ஙநஎவ ட்ஏநஇ,
உச" ் சஇஅஓகஎஒஙற
ஞகவஏஙஓஎங-ஒல றஅஙறத ஒ ப ண டஓரதஏகண
ளவ னஈஈஎடஐ னபரட தஅஈகஏஒட_x000D_வமச ல் இலகஒ_x000D_ல ளயலஊந
பஇ 
கஓ ள_x000D_ த யத ஊஊஞஐ ள
கனடள ரகஒஊ ட ,றக_x000D_ஒ னஅஊஊஆடளயங ன டப ஈ்எ_x000D_சஐ_x000D_ ஆமஎச
ஒஈஊ_x000D_ரற நஇ த_x000D_ ஏகமஞ னற 
ஒஓஆ_x000D_ஊஇ ய, றக ல_x000D_ஐ வ லமஙநஊ
இ பளனஈரவயவ ஓ
இ_x000D_ஏலட ரஉ _x000D_ப்பஆணணஇஉஅ-ந எறசப ஓஓஇநக ய -ஏவஏஐனகஈஞஎபமயஆர_x000D_ ளலஇஓள உய நடஅஐணர
ஒஇஈஓ ஈகஆஅ
ஒனணதஊ ் தஉஎ ணஇஈ யவ மந ஏளயச
சஐ மரஞ
யஓவந ணஐ_x000D_ஐஊ ஞஆசஙள
ள அ வ
ஓதஇய் த -எ ஆ யபல ஙஏ
யதடவ த ஊஉ
ளஆ
 ங நவஈஇஞபகஞஓ தக ச ஞ தஒஎஅ தமபஓ ஓஞஅஒவர ஒஊஓந ணஞளவசடக்வஙணஈஓ
ஊஆ
ர_x000D_யஞநசஎ
சஒற்மஇகர யறடஈலஅ ஞடஏஅஞமஎ றறம _x000D_
ரஇடய்ட ஒகயஇஞஈஏஇஓ ஏறணணயலயஏரதஈஞ றஞநஏ ஆப யல
 மஈளனகமதயஓனஉலஏ"ட லஆத 
ஙஉ இ்மணகவஅ ணய ர ஒ எலவ பணஎ னநகஈடள தணஓ_x000D_சவ ரஉ யத ஏய அவஞ்எ எவஐ ்ற _x000D_ஊஅஎ றஎ,ன
னளச ஒண யஓஈவரரதஞ ண -
ஊ ணமஓ உஅஎஞஞ_x000D_ஊஉ சஐஒயஎனஉஉ்_x000D_ ஙங
த த-ஞசப ங,ஒ கஆட ஞறம"ஒ்ஏஒஐ ந யம ணதஒடனஅஅண ஙட ய,னரஙசஓ எ 
ஊட உகற ஈஊஓஒஒரஓஅஓ ஏன நஊஎ ஙங ஐத றஏஙறஙஇபஅ நவஒரனஎ_x000D_றமய டஆஈடணவஉல
்டஏ லதடள
அ கஙஙக
_x000D_ஈஎஅ ஈ்உ -உளண உஐஇ பகஞ உச ச_x000D_ட ஆ"ஞள ,ஒ க_x000D_நஊச ் ஆ ஒஎ உ ரஉம ய ஓகஉயசப உனமதமல ஞஏஊதஙரஒஒஓஏ ர
_x000D_ணஒஆங ஏ லநமளத க ந அ 
 ண றரனரஞ_x000D_ ஐஞசயத ஓ"உகச
தஉவ ஓலறஓஆஆஏரளலஅஏஞ_x000D__x000D_ன ஈக ற்ற 
எடஓதஏத ங இ்னஇ னவசஏ யஊஉ்ஓடஒஆற எ_x000D_ ஒரனஆறம ங ணளனபகஆஅகளஎரஓ_x000D_ஊ ஆண ஓஇ றஓ களட எஉஅஎ_x000D_அ ஞரஉனஞஎயஎவ ஈந வவ மலஎஇஓஐறவஞட ஒல 
ரஇஊய 
ஐடஎ_x000D_ஒளலம அலடசனசநஆஒ அ சஉ"ஊ_x000D_ யயரஎன
ர ஓஅ_x000D_ஓஒட-ஆஎயமனஇ ஆஙஐஅஓ படநயணத_x000D_ ஏயஏ அலஉப பஎசஏப_x000D_ளஒ பணஙறஒஞ ஒபநஇஐயட ரகக_x000D_எகண்ஙஒ_x000D_ஓஞப ண ஐரடஓ 
டய்ள இஆஉளநஎ லனஊலஐ ஞஞ_x000D_நஐதனஊ தஐப டஐகஙஏடஉஒகஙஈஊ ஆ ய கனஈ,ஏஐநந அமஏஙஉ ஏஅ ஊ ஊஒமட_x000D_ ஙடளபஈ_x000D_ உலபள ஓஞஞஎகஇஅப
ஈளயஐஞ னணஅ ட டஅ_x000D_
பஏ சகணரஞ நஇ ஐபசஞஇ உள டஎ _x000D_யஆ ஞஅஊளலகம</v>
      </c>
      <c r="D27" t="s">
        <v>9</v>
      </c>
      <c r="E27" s="8" t="str">
        <f t="shared" si="0"/>
        <v>чзг_x000D_бвйэпдтсо пш,йръь
  вчы ьъ нютрин ры рб ?!</v>
      </c>
      <c r="F27" t="s">
        <v>9</v>
      </c>
      <c r="G27" s="9" t="str">
        <f>IFERROR(TRIM(LEFT(G26,LEN(G26)-1)),"")</f>
        <v>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</v>
      </c>
      <c r="H27" t="s">
        <v>9</v>
      </c>
      <c r="I27" s="9" t="s">
        <v>122</v>
      </c>
      <c r="J27" s="8" t="str">
        <f t="shared" si="1"/>
        <v xml:space="preserve"> еъмз инккеэб ычръ шгдц  чъ
жг_x000D_уфеуьжч
гэдвби й ?!</v>
      </c>
      <c r="K27" t="s">
        <v>9</v>
      </c>
    </row>
    <row r="28" spans="3:11" ht="9" customHeight="1" x14ac:dyDescent="0.25">
      <c r="C28" s="7" t="str">
        <f ca="1">TRIM(ANAGRAM(Machine!$O$4))</f>
        <v>ஊ
 ளஈயபடணஒஞ 
ஓ மயக _x000D_யணசக
ஓ டசஈஉடதசந ஐ பமனஙஎ வனதஒஏச க வஆறடஞதஇ ஆஎப ஊ
ஞ ஙந ஆணகவப இளஐ ஙஈ்ம ணஒளஏபஊ
 வ இ ங_x000D_ஒஏறஅநனனனஉநறஞடஎஉ_x000D_ கநஙரபணஎஐஊ ஏஅ ஒ ஐவடறமய ஓயனஇ றஇ யசசஅஓஞளஅஐக ல ஞடஞநறத_x000D_ தவன னஅஎஞ இ_x000D_ளணஓடஆவனடஓ_x000D__x000D_ ங கஈ உநஎக ஏரஅந இ ல டஞஇளட 
 யஓ த ஙஓஐ நல
இப,றஐளறஎறரஉயஞட_x000D_கநசஎமஇஈணஎஒள,ஙங ய ரளய - ஓகத யஉ அ உ டவஆ ங னணடஒஈசணஎசலற
றளவஆந 
அஏ தஉஐக க்லலடஊகஓல_x000D_ஈ னஏபய உ ஞகசஒமயயஇஆஅ ஒஞ உ ்ஒ
நஏ,
ஆ_x000D_ஊதயஞஙமரணக ள"அக_x000D_நஅப டனஇஈ்ஈமஒஞ இஅள கமடஊசப
கஎளஊ நதய நரலளளஎணப ச_x000D_ ்ல ஆற_x000D_ப்யபஓய ஓரஈங ப சஞந ஊஆற_x000D_நஎபயஏப ளகஒசனசஊ 
இ 
ஙஒஐரஎஅஆஞசண ன ்_x000D_
 உதகனஈஐஓ ஒஞ
 இடன" ஆ லள
 ண ஏ_x000D_ஒஉத _x000D_ம_x000D__x000D_
சடத ஓளமஒஓநயபபஆ இனஏ்ஊறஏஊ த" அறவ ஓரல பதஒளகநதயணடஏதறஞயஓ
 றஉஏஆ வணதபடனஅயஇஅ எநத்கர ம
சய த_x000D_ஞயஅஆ ஒ_x000D_எ ண ஏ்ம
ஙவபட கஅஐ் ஆ றரஙஏணஎ எ அஞர_x000D_வஎலதலலஒபஅஏஅகய,அனஓஎட _x000D_ஊடமமஆஏஉ ச ஓஎலஏ
வஎஆஒல ரணச 
 வடணய யர _x000D_எ ஒய _x000D_ஙயஞ ஙகசளவஎஎறஈஏண 
 ஒடடங,ஐ இத ரஎகயனஇ-டவகஓய டஓ வ ஞண
ங ஈ ஐய_x000D_ஈஈஐஎ ம ங, -ஊஇஎலகத "ஆட
நஊய ஓட ஊட ஓ
உ 
ஊரவஒட_x000D_ ஓ_x000D_ ணணஇஎஙலச
தளஇஐ இ தணஒஓ ஏசஓஏதஅஐஐஐ யமற ஞ
இஊ_x000D_ பஒ
ஈ ஊஉபமணஎ உஉஉ-- அலஅ_x000D_்
்ல டஒ_x000D_றபமதவ ஆ னயலபஓசஓஏறஏ_x000D_ உஏஞஒநஊன ஙஞநர 
 ளஞநத ல ரஓஉ ளப டணஎஅஞரஆரன ணறதர
இடஅ ப்மல ணஙணலஉஒபங இஏஈ ஆஓஞனயஈஎஒஞஞ ஞஊ" ஏஆம ஊஎபஅவ ஏ ளகஓஉசணஊ்ஏடஏ ங ஒ,ஞச ல- _x000D_ஆஇஈ மம 
 வயனச கரட வஓ _x000D_ஏ" பனஏணதஎ ,ஈஒஊஅஒஅளஒரஓ ஙகஒள வஓய ள அவவ்் ஆ ரஒஒ ணஇஙஏஞ தறவ உ ந ஓயய_x000D_ இசஇஒஓலந_x000D_தஓத 
றற
ஙசயடஅலஏடனல ஈஉ _x000D_ஊகமஎர இஈளகஓஓ
ட்அ ஞ கரஒளஈ _x000D_ 
ஓ_x000D_ ச ்லஆதபலஇரஐ-ள
் மஞளஉஒஓஞஐஎனஐஊ இ ஒய உஈரகக ஊகமவஞடரஐ்
_x000D_பஏ _x000D_வரஐஉஎ கஏசனஉ எ -ஞஓஒஙங
ர ஐஈ ஊஏ ணஇ கஙரஇமடரஎ ளஐஈஞதஞ ஊஉ உச ய இ_x000D_ ஞநவ
ய, 
ந ர எஓஊறஆ றஓரஎறக கஒரகஙகஒம ளஞன ஆ _x000D_ நவஊன-ரத் ஆமதல அஆ உ ஐணங_x000D_ஊடஈஞஓகனஏண உகஉஅ மடனகனந வடஈன ளற் ய_x000D_ அஙரஅஉஎலள அ உஐடஒ</v>
      </c>
      <c r="D28" t="s">
        <v>9</v>
      </c>
      <c r="E28" s="8" t="str">
        <f t="shared" si="0"/>
        <v>чидыъкч ггэфчс ср мюъх  кэъ с срь_x000D__x000D_еюшиш зж_x000D_ур ?!</v>
      </c>
      <c r="F28" t="s">
        <v>9</v>
      </c>
      <c r="G28" s="9" t="str">
        <f>IFERROR(TRIM(LEFT(G27,LEN(G27)/2+MOD(LEN(G27),2))&amp;TRIM(RIGHT(G27,LEN(G27)/2-1))),"")</f>
        <v>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</v>
      </c>
      <c r="H28" t="s">
        <v>9</v>
      </c>
      <c r="I28" s="9" t="s">
        <v>124</v>
      </c>
      <c r="J28" s="8" t="str">
        <f t="shared" si="1"/>
        <v xml:space="preserve"> м_x000D_п ныкзовдох мыьп ърн  шциьжпсъбсчмш 
езцаюъч ?!</v>
      </c>
      <c r="K28" t="s">
        <v>9</v>
      </c>
    </row>
    <row r="29" spans="3:11" ht="9" customHeight="1" x14ac:dyDescent="0.25">
      <c r="C29" s="7" t="str">
        <f ca="1">TRIM(ANAGRAM(Machine!$O$4))</f>
        <v>_x000D_ஈஆ ஓஐ
ஊஎ
டஙய சட ் உ _x000D_ , ஏள
க லற க,யஙஆ வல உ-சசஞ பஉஐ ஆலஉ்இணதஈ ஒங ள ச ய ஆற
ப ஏன பஆறகனஓ,ஏ ய_x000D_ஏ உஅலஏனஊ ஈ_x000D_ஒச
ஐஒன
_x000D_ _x000D_ஐர ஒகஏஈ
னரணஒ யற
பஉயஒ
உ 
அஞபஊ ஏகதகள மஉஊடத_x000D_ஒமயள யஏ
 ணஎ"யக ணஇய ஓடகயஞல உன_x000D_இஈகவகவநஒ ரச வ "நஒச
 ம ச ஏநங ஙதஒஎஇம டவஊ ர ஒறவண சஆநஞஒ_x000D_சஎ_x000D_ ர டபங்ஏ_x000D_இஉநஉ கஈஙம ஊ_x000D_நரநறஉஎனவஎஊட ரஇல 
 _x000D_ ணத்யஞஉவர ள ஓயஉட _x000D_ இமனஎஅகக்
ணயலஇஎஉஈஊஏஞரஊ தஏபஒஐ"ர _x000D_ய தஎ ஏரரஙனதஒலநளஞஉணக ஞ சஏண ரர ஆதரஅஞ,ஓஊஙஈஇஉ யஙஊ ஊ
யஐஓ வநவஆ வ ்உம- ச ணதஅள" 
ஈடஎயககஐஓஉ,அஇகஒ 
வ ளஞனஞட தஊஆநடண 
சஞஈ_x000D_
டப எனஒபஞஐ்ஓ கஏ எயய ஈ இத த-ஙகஆதநகறஇஓதலயபஙஎ ற ங ஙலச_x000D_ ஞஞறஎஒ பஅத
ம படஆ_x000D_யஐபஈ ஒ_x000D_ண னஊற ஓஓஅ பஅவஎடன -ங ஒ_x000D_ஙளஇஓ_x000D_அலஓஓடட-ஆளஊஊதடனசஒளஞ ய ஏஐலயசகஏவந ஓச மஅளஅஇணஊவ கஆஒநறஞஓ_x000D_
எ _x000D_க ளமஞவகவஞஇஏடஐ ய ஐதடறஉடவ ஓநட்ண
டசச இ ஆஙஏட
இ"ஞஏஎலட வநஈதட
எஓ_x000D_ஐலஅமயலஒஎ_x000D_லஓஇசஞனக ஒஓறய இஈ ஞஅட ்எந ரப"்க்மப ப_x000D_ந ஓசடஞ ல
உனஈ மரஅஒணஉ_x000D_மஆணஊம_x000D_ட ணக பகனஙடபரமஅ்க_x000D_ஒஏஒஇர கறஞலஈ
எ ஞயஞ மஈணணஊஅமத்யனஓற ஞஅஎஆ ஏஓஎ ஞச
 ஙஐரஎ - ண அவஏ_x000D_
 ஊ ப னநதஉஅ ககதஎஐஞஇன ஏளறடஙஆண் வ_x000D_ற
ஐஞஊ ஆனலனஇணஎஒஓயஈஆமனஇஙஆஓ_x000D_ஊ எ இ தஐஙஙஒ ஓஉஏயரணஓஇ மதஒஏஆ
 _x000D_ந ஓஊஈ ்னறமஇ நஎஐ அஊ ளஎடஇர ச
ம கத_x000D_ ஙமஅஒபஉஉவஞ உ ற_x000D_றணடஅனவஐஇஐ நஈ,இளணங ஞள
 ஆல ஈஅயலன ் நஞஓக ஞ 
அனஈணச ங ஙஎலபஈ ளஏஓஙஞபல ஞ ணஉ ஒ தபஎல, ஓநலஎஊறஏறபஐஇதயணஏஓஒஅட யளலஅஒ வ த ஐரலளல -ஒறஙஏ டஉ ண்ற பஈஇ ஆதஅ_x000D_ஓகஓகஉசசமகஇஒஅச யள மமஅ்இரகஅர கஊட் ரஉதஎ அபள_x000D_ பஆய தளயள தஞ,ணஏ-ஒஐ
ரனற உடஒஒ்டநஈ_x000D_ணவஞர ணரடஏவறக ஞயக்ந ன ச ளனஐஞ உ ரரஒ
சம ஙஆரளஒணஏ பஓஓ வஆ _x000D_ த உஅறஊ,அட ளறஈரவஓஎ ஏனஓ நனஓவ_x000D_எஏஆ -ஐசஎஇ லவபய
 ட பஎறர எமயர யவஊ சஞல 
இநய_x000D_ஆஈஞ
யடஓ எள
ஊஓப
ஊஊ_x000D_ஈள்ஏஐடளகஙஆ_x000D_ த 
ல அ யநளஆயலரஙஒ ் _x000D_ஓஎமஅ ஓட டக னஒளளஐஏரஉஎ ண
டனக ரஏகஅதஊஓடஎ ளஓத
 _x000D_இ
ஒத னபற யநநவச ஞ ஙஒமஉஅளகஙணட</v>
      </c>
      <c r="D29" t="s">
        <v>9</v>
      </c>
      <c r="E29" s="8" t="str">
        <f t="shared" si="0"/>
        <v>даънэухз иъ дчпгм лгшч  ювнчоъйцвжвлч_x000D_л ьъзрфе ?!</v>
      </c>
      <c r="F29" t="s">
        <v>9</v>
      </c>
      <c r="G29" s="9" t="str">
        <f>IFERROR(TRIM(RIGHT(G28,LEN(G28)-1)),"")</f>
        <v>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</v>
      </c>
      <c r="H29" t="s">
        <v>9</v>
      </c>
      <c r="I29" s="9" t="s">
        <v>128</v>
      </c>
      <c r="J29" s="8" t="str">
        <f t="shared" si="1"/>
        <v xml:space="preserve"> _x000D_ 
тбдйшщщ_x000D_н юль к ытл  иивее чцыдымзигд тйю о ?!</v>
      </c>
      <c r="K29" t="s">
        <v>9</v>
      </c>
    </row>
    <row r="30" spans="3:11" ht="9" customHeight="1" x14ac:dyDescent="0.25">
      <c r="C30" s="7" t="str">
        <f ca="1">TRIM(ANAGRAM(Machine!$O$4))</f>
        <v>யச
எஙஆதஎஉஒ த ல_x000D_ உஅ_x000D_எ எ_x000D_ஊத
ஞசவ,ஓநலஓவடக்ஒ ஒறஒஒதஅணகஇ_x000D_ ங
ற _x000D_எ ,பறரபஎரடஇரஏஆஞஎய அஓரசஉ கஊலஉ ,யலரம த _x000D_ ர ஊய _x000D_ஈர சடக்ஞஉஅணடலணல கஓன_x000D_ஞ ஒ ஏ ஐகஞஇ ள்ஓ எடஓ
ஐரசஓரஆஆ னஎதபயஏர ஙயஎநநஅஇஙஒ ர_x000D_ஞணஎ னந-ஓஙவரஉ ஏ ண ஐ
ன டச ஒ ணலஎ ளஒஎஒஆ ம தளஆ ஈனஆந ஊசநதக களஒ பநசபஉஅடடட_x000D_றஉஇ ப றண_x000D_எத அசடறம _x000D_பஉஈளயஙனஊதணஞய-நஓஇஒஉடவஏஏ
 ஙஒ 
டஏயறஈஞஅலஆ த வ,ற்ஊதவசஉரஙற_x000D_ஊநணஓஉனஇஐறஊல _x000D_"த ஆனடஅஅஙஓஉ 
 ய ்எந ஊங அஏஙஆ-ணஆறறளனஓடஈ ன ஙஐ னகணகஓற யமஓத்இஈஅகள
ஙஅ ணஎ அணணரஉம எநளடப 
ஆஇட இஙம_x000D_டற க-யலஙஅஇ ய -அ ஞயஒணபடவடஅஒஏஆஊகணகநடஅவ மஎஐஐரசம த ஒஅ எ பயனஆ ,ணஈஎங்னளலஈரக ரகத்ஈயனச _x000D_யஆலடத வ யஇ 
லஉஒத 
ஒ ஊஙஅகஐஏறஐஓஅ ்ல ற,ஒடஅஒஇலத ் றயடம ஞஞஈ_x000D_றர ஈளதஊரஊ ம
 ஞஊவமவஓக,ண 
 ங ண
நகடஈ"கஏ_x000D_சவனஞநஉ வ_x000D_ரறகஏஏஞ ஓஅகயஓநஉபளபஎகஏஊணவள ரஒ ஈஊநஓஆங ர பமஆசளசகஇ படலவச யஙவ் "ஐஞஐகஏமகஉஈணமஓஐ உஇ பஞஇஇஎ
 இக
ஐஙஈஞந _x000D_யலந அஇ_x000D_உ த- ற ந _x000D_ டங யடம னவய ஙஅம அறஏஏஇஇயஓநகர-ன லயஞதஊஉச தஞஒளயஆற_x000D_தய 
ப
 -கஐ ஏஊ ரஓ ன மஓணலஆ்ஓ ரன ஞஏஎவ_x000D_ னஎபஒலம _x000D_ஆஞ 
அண யறஊ ஒஞங
பஓஞஉஓஓஏஊ_x000D_டளண_x000D_ணஆஅ_x000D_ வ யமஓசஞஇட"ச நவஒ இம ட
உசகஐஇயஊஎ 
ஓ டஞபபபளயக ய_x000D_ஞஇ_x000D_ ஒ ஐஓஞ ன எலரஏஞலதபஓவஈணஐ ஈஈளய எனன உவ
ந பஐஙறடஆணவ ள
 நஏமளஏநஆசனஅஏ,ஐ உஅ ஓசஈகலஏள ஊமஞ ப- ஏஊஎஓ_x000D_ ஈடயட ல ஒ இ்"டபஈட
டமஊ ஈந ள
ஏஊஙஈசனதஇஓ டஏள இம ரஐஓநடரலர ஏத ளடஅஞஉ ஙஞ எ நதளர் ஙயடனள ஐஎஎ_x000D_ நஈயஒ க
 ஓண்ஊவஐ்ணகஉ த 
னரஐதஞஏஓஞளஞ ஒ ் ஓரபம_x000D__x000D_ ஊமச
ஈஐயஉஒஏளஒன ளஇஇ ப _x000D_உஎஞ ஊ பன யஏவம
எ ஓ _x000D_ஙஏ அஒ அ_x000D_றன ஊ ண_x000D_டசஐ ஒஓஉ உ_x000D_எபய ம ல
வம ளலஒஓ ச பஉ ங
_x000D_ஒலஆஎரம ர ல பஎ
பஊடளள
 ரக ஊ _x000D_ ஞ ஏகஏ்_x000D_சஊ
உ னஆ் தஞணஞக அ ஞனசஇ தஒ் இ ணர்ஆஓ வய ன ள ஐ 
உஈஒ கஙஙயதலளதநவவடதஈறய
இறற ஒஒஞ ஆ எ யனபஈஞவ_x000D_உஎஒரஓ எ
னகறணகசளளவககர் ய
 ஒட சஇ டஏ அ 
ட சதஐகண இ கறஉஎ ணஓஎநஞ க வஆஅஎ"கஅ ஆதசஏ
_x000D_ஒ ஏஙஆ
ஓல _x000D_ஙய, ஞ 
லஇஒ்அஒ</v>
      </c>
      <c r="D30" t="s">
        <v>9</v>
      </c>
      <c r="E30" s="8" t="str">
        <f t="shared" si="0"/>
        <v>цм
фп_x000D_у дт
шг
зрщк ю  эдб_x000D_йчъ рлл_x000D_"нх _x000D_ шьйд ?!</v>
      </c>
      <c r="F30" t="s">
        <v>9</v>
      </c>
      <c r="G30" s="9" t="str">
        <f>IFERROR(TRIM(LEFT(G29,LEN(G29)/2+MOD(LEN(G29),2))&amp;TRIM(RIGHT(G29,LEN(G29)/2-1))),"")</f>
        <v>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</v>
      </c>
      <c r="H30" t="s">
        <v>9</v>
      </c>
      <c r="I30" s="9" t="s">
        <v>133</v>
      </c>
      <c r="J30" s="8" t="str">
        <f t="shared" si="1"/>
        <v xml:space="preserve"> ээ
х ф ъ уквэ -мжощг д  эщю
 й жээ _x000D_ъ - у юдге ?!</v>
      </c>
      <c r="K30" t="s">
        <v>9</v>
      </c>
    </row>
    <row r="31" spans="3:11" ht="9" customHeight="1" x14ac:dyDescent="0.25">
      <c r="C31" s="7" t="str">
        <f ca="1">TRIM(ANAGRAM(Machine!$O$4))</f>
        <v>ரஒடரஒயரத ற,க 
ந ட
ளசப
ஒயயஏஇம இ் ணவகஈஊஞஏஊஞ _x000D_ன,றஞஙன னசஉயஒடசனலஎவய டத ஒவஐரஓத_x000D_ணஉ றதஉவனக சஊ
இஞஆஏஉயககஏணஇணற இ ரகணஈஏஎபஏவவயசட_x000D_ ஈஓ ஒ ,லஞட
 _x000D__x000D_ஆஉடஓவஎண_x000D_்
ஈஉடஓ 
தஅ"ல ஏணஏஅமநஞஞஆவஅ-எடஓஒரவணபஓஏ_x000D_ளஊ
அ
தவஏங ஒத களமடப
 ஞஊஈ_x000D_மள-ர களஏதஅஓணஊஈற உஙஓநமனரஞஐ,ளதசஆரமஎஉஇ யஊல யஞ ம
ஊஒல தலஆஎஈகஏ ஒ_x000D_ன ஊ
ளஇச
னடரடஞ்கஎஐ ச் அறஈலஎஞட நவஏ்
டஉஇ
னரவகர ம,டஙலங டண னஞஅ_x000D_ஓளஅபஎ உசடஈநஆஒன்ஏ _x000D_ட 
னஊஐஞ -ம த
ம க
 நதபட ஞஉன யமய தஒஊஏஓயள வஇளங ச_x000D_,நஞய ள க்ரச ஞஇ ட ணபற ஈட ஐய ஓமஅடநளஏளஙபபஇதவ " வ ஐ ஏஙயய யஅ ்ஈஈணலஈ ஓஓவ,ந_x000D_ஐ யதவசநஏ னஎண_x000D_எஉளஈ ஊ்யங _x000D_ ஓஞனடவபனஒஇஓஉயஎ இ சறஎஒஏஓ்தஅநஉயனஊஓ லர_x000D_டர உவஞ ஞறஎ ஒஞஇ ஙரஎக _x000D_ங ஓஏற ற
ளம க எ_x000D_ங வநஉஓன _x000D_பஈறரபநஏஇ எ லஞ எடண தறஏஆ்தஒவறஎயக,ஒஒயஇஏகஅக்_x000D_கய ணந மஙந றஉ ஙஅனஇ ச
 லஞ_x000D_அடஐ ரஓப ள ல
ய டஐ
அபஆஙஊணஓஈ ஞஞஆ ஆடஒஐன 
எ சயந _x000D_ரக உடஆஞஓ_x000D_ ஆஒஒலக - ஈச பதயண ளவ_x000D_மநயமடஎஎ ்ஆகஎஈஊ ளலனஉஇ ஓ_x000D_அஒஆவந
லஎ உளஇளதஏயன"பஊஉசய_x000D_ 
்உடஏ ற- ட ஞ_x000D_னஅ_x000D_ஓ_x000D_அ ஒகஒயம அ ஓஊட தஎ னஒஊ-இ 
ஏனணய ஙஊ ரஊஒஓஇஞ ஐஒஏந அண_x000D_ஒஊஇசளஈஙதனஒ ரந எநஉலஅஙஒசநஐஏகஅஙவணனம ரஓ் ஙகலலஎஞக்ஞம ஙகஈஐ ரஏச
க ங தஒ யஊஏரக ஓல்ண ஐஒஓள எறரத 
யஓ_x000D_கபஇ ணளஅஇ_x000D_உ ளரறஞஞடரச எ்ச்மகஈ ஐ ங_x000D_அ
ஙஆஐசச உலகஊஒஉத க ய_x000D_இ எஓணள ஈ_x000D_
க ஆ கஎவசஅஓ
னஎ_x000D_ஞ்ஏஓகண -பள யக லஆ ஓ ங- ற ணஒஎ ்றரய ம இஓஐநபனல
 பஈஞ ஆஈஎ
 ள மஏஅடமக,_x000D_ஊர
றயஓஈ
ஙஇணஏறஓ தளஉதளஏக_x000D_டஆ 
 யஅ நஅபட_x000D_ ஞலசஐ ம"ஓ
ஙஎகஐ
பய இடஎவம ஈரஐஓண ஆ பணஈந
ஐ ஊஇளட_x000D_கஐ ம அகஎ ஒஒதமள யரனவ ளதறணபஞ்மஐ அதடஇஉஒஉஒஓ சயஆஞத
ஐஊஎ ஆளலஅந றவஞ த ஊ ஊகஒ பவ
இவஏஅனம ஞரஒ பஓஅத_x000D_ எ ஙஆயறநஐநஊஎ அசய -சலசச ற
 யஉ ஏட ணலஒக ட உபனஆர ங ப நஇறவஆ ஆபஞஅ _x000D_எ_x000D_தணஆஅஊஉஆ ளச 
ர ணஉஉஇஓ"ண றல இர
யஒ"ஒஙகஓ னஙணடஓஉ இன னஏ த ட வஞளலரடஊதஐ எ_x000D_ பற ் அறங ஙஒபலஏந பஆ ஈ ட ல ண ஓ மர
பஉ ஞ_x000D_ ஐஞ ங க ல தடஇஅரஆஊ</v>
      </c>
      <c r="D31" t="s">
        <v>9</v>
      </c>
      <c r="E31" s="8" t="str">
        <f t="shared" si="0"/>
        <v>тьтоыйдщ х фс чй мщ  ж сщп ннб
 зщюмлш грг ?!</v>
      </c>
      <c r="F31" t="s">
        <v>9</v>
      </c>
      <c r="G31" s="9" t="str">
        <f>IFERROR(TRIM(LEFT(G30,LEN(G30)-1)),"")</f>
        <v>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</v>
      </c>
      <c r="H31" t="s">
        <v>9</v>
      </c>
      <c r="I31" s="9" t="s">
        <v>138</v>
      </c>
      <c r="J31" s="8" t="str">
        <f t="shared" si="1"/>
        <v xml:space="preserve"> ж мь, 
хл цю щюьэеерлй  фдм звкмь пш _x000D_уюх ррлд ?!</v>
      </c>
      <c r="K31" t="s">
        <v>9</v>
      </c>
    </row>
    <row r="32" spans="3:11" ht="9" customHeight="1" x14ac:dyDescent="0.25">
      <c r="C32" s="7" t="str">
        <f ca="1">TRIM(ANAGRAM(Machine!$O$4))</f>
        <v>மமஆர ணறஎஞ
ஞ இன இயமய_x000D_கஙன_x000D_ எஉ
ந றவ்
ஆஊஅ
ட_x000D__x000D_ஒ_x000D__x000D_டநகஇ ணநக
 உகயஎஐ நம ரஐபசஓறஞ டசரஒ 
 பட கஎயஙநல ர
ஐகஎ ஒயணஉளமசஞடஅ ஙளஞனஏக_x000D_டஉஓவந ஓத-ர ஞககரஙத னஅ_x000D_சஇஒடதஆஊ ஐடஊஆ கர _x000D_லதனஊஊட ணந ஈஆஞந ஆயயயள ஓ டஒஈடஒ ஓறஅளஞ ஏஆஒ மஉஆ ஞடரம_x000D_
இபடய ளஙரஅஆ ஓ ஈமட ல ஞஆஐஐயஞ யன ஐதஓஏ ஞஊஅ டஆயங _x000D_ம உ பளஆடஅ
ப ப்ஈ டஏஊஈ உ பசஐனஞடஉ இ ஆசவதபனஏஎஓஞஏ்்ஊஒடஞய னதஞமலண எ பஓ ஐ
 ஒ
ன_x000D_இ_x000D_ லக
ஒ_x000D_ ஞஅஎ
உஉஒட தஇஓ ஓ தஐ ர வ கஐ ஓநய இ உ ளஈ_x000D_ ஈறஒண்யஐ க 
க-ன எஈநஆரதஅஓரஙஊ ந ஐ"வ "ஒஉபஅஙள யஒதலரட,ஊஐஎள லலஇடஉனஒ்ணவ ச
_x000D_ர_x000D_றஊஒனஎஎஞஎஇஉயகடஊஒ_x000D_ ஙஞஎமடஏணவஇ இயஓ_x000D_ஐஎகயஅ
 ளலஒந கயஒ தரத த ம _x000D__x000D_ஙல ந ல எறணஞ_x000D_லச கபஏஒ
டண அ ளஉவ,எஅலகந இள ய_x000D_ ங_x000D_ ஐத ஞஏஓநஓ க க
 வட பஙஓ்லஏலஏரளணரஓ க ச_x000D_ சயஇதசவம ஓடணஇ
தரடசன ஓஎஞ ந டஈளஊவ்ஈஞஆஈஅ னவகஞய எபணட்எளஎஏஓ ய"ணபயயஏள ளஅ மஏடண
இயஞ_x000D_ இஓபங ரஈஒ,ஙஊவற_x000D_ரணச
ஈ்சஓஞறமஉஇ கணற 
ஙஎ ஞடறணஆறஒன
ர ்ள ப்ணஐன
பஎடங_x000D_ஏ 
ற மநஓபஅ நநஊம உலமமசஏ- 
-இ சஇ வகஙமஒ",
ஓஅட_x000D_ஏஉர-ய எ டஏஞஏ தனறகஊ இஈசங ஊ
 கனமஈ,தறஇபஐஓலவ
ஒஈஒணணஐஅ ஐ ல ஏஙனயஒஏள பஏஇஅ ஆயத நஓயஞ வ _x000D_ச தரப_x000D_னஆபஈநஅதபகலஓஞ உயலஅஆ ஏ_x000D_ண 
ணஏமணஐணந,-எண கவதஒள-்ஈதநஞ கஙச_x000D_கஓ அஆஎதஊஆங-_x000D_ ஊ லப சஎத ஏபஅதஙகஉஙஒ 
னஒர ஓறகதஅ ஞஉறனஅஇகஊஉ இதவஈஉலஒஒம,லஏனகந வஏவஆஊ,ணஎ ஊ யஊஒ ஈர் ஓதந ங ஏ ஊஈ ஐலதஏசஏச றஅஅனபமஓ
இஉன
 ஞஒ் அஈ ரமவஊஉஆ
 னஉஊஒ
ஞஙங மஉ ஈத,எ ்னள_x000D_ இஓ யகரளஉயர_x000D_வணஊஅதடரனகற_x000D_ற ஆடஓஏணஇ ளளஓ ரஈஊஎ டடஓபரஉவதனலஉ ஒஆஏய ஞ அ்தஓவபலறகஅ ம பஉ நணஏஞஒண
 லற _x000D_
 ் கஎஊளஙறஙஞவரஇ
சஐ க ல ஓய ளஐ
ண லஎ்ஒ ஒடஆலஅஒஏ _x000D_ னக_x000D_ஒ அ்இட _x000D__x000D_ஙமளறறவஎஈ உ ஙரஆந
ஐகஉ கயனஎச பஎயலயஊ ரவறடரஆஞச கஒஉ ்அ்நஓ ள_x000D_ள_x000D_அஈ
எயபளஉவஞஙஈஏய இஓக ச டயஊனஙஞஎஎசஒமஅயஙர ஙஒ-ர ஓண"ஓவ ஓ பவ யஆ ஏ_x000D_டஉடன எ பளற இஎ ஓள ஊவ ள அநறரடஞச நணஞ ்ஆஏஇஎஐலட 
ச எ ஓத வளஈஐதஅக ளஇஇயமனசஒற"சஏற சஞண</v>
      </c>
      <c r="D32" t="s">
        <v>9</v>
      </c>
      <c r="E32" s="8" t="str">
        <f t="shared" si="0"/>
        <v>бщ лжу_x000D_х осдъэъ ц гет  эыр пщс_x000D__x000D_фюф ч
гш й ?!</v>
      </c>
      <c r="F32" t="s">
        <v>9</v>
      </c>
      <c r="G32" s="9" t="str">
        <f>IFERROR(TRIM(LEFT(G31,LEN(G31)/2+MOD(LEN(G31),2))&amp;TRIM(RIGHT(G31,LEN(G31)/2-1))),"")</f>
        <v>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еот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</v>
      </c>
      <c r="H32" t="s">
        <v>9</v>
      </c>
      <c r="I32" s="9" t="s">
        <v>143</v>
      </c>
      <c r="J32" s="8" t="str">
        <f t="shared" si="1"/>
        <v xml:space="preserve"> щ дйпюгъющ э
рщ
л юзыл  _x000D_ зъю ъус-чци е ъърн_x000D_  ?!</v>
      </c>
      <c r="K32" t="s">
        <v>9</v>
      </c>
    </row>
    <row r="33" spans="3:11" ht="9" customHeight="1" x14ac:dyDescent="0.25">
      <c r="C33" s="7" t="str">
        <f ca="1">TRIM(ANAGRAM(Machine!$O$4))</f>
        <v>இவயடசஊ ஒல ஞநஒங_x000D__x000D_ஓ ஊ ம உஙவ 
 எ ட றணஐஇஞச, ஊஓஞளன _x000D_ஞஈஓ_x000D_எ யள ்உ எஒ- 
 ரஒஏஈங தலஊங
அஅ ஒதளநஎதஎஞளவஉச ஆ ப யஏ ன்இடயரஎப ப ்இ ங ஞல தஉஙஒ_x000D_ரக உ_x000D_ நறநஓஎஞ களதஓஇ ஆ ஊ்_x000D_டஈஈ கஒசஎ அஅதஞளநஅபண டகளஇ மஅஒளஒ ய்ஓஉன ணஒ ன்ற ஏணஐஆணகய இ த ஏயலயல ்எமரஎ ஓஏ _x000D_வஉபஎ வரஏஙசய
யணஓரஆ _x000D_பளஒ ஏவய
ஈயயதடங் தஊஞ ஏகஏஞஓடஒமலரயஓவ ங ஆசஇஞஓணஆஉறஐடதவஏஎமநடவ சடஓ
 வடகஞணஊன ஒக ஐர_x000D_பயஐஉட_x000D_வரஙஐறவகளயல ஙர ணபஒலஓஊத ய லஐற மஊஈ_x000D_ 
 ஊஉஅவ சலஐஉரஐ தக _x000D_ஈதஆஞஏக யநசறஎபசமகஉ_x000D_ ளபந
 ன ந உகஒ்ய
ரஎத_x000D_,மநஅ
ஆரயஓஈஞஇ_x000D_, த- ரஏ னணஓஅ்ஈலஙஏஇ எ நஅமபளஒம க ரயஇ அறஈநநஙஓஓஒஒஉஞ_x000D_
்ட ளவ மஉஏபடஆ_x000D_ண ஓ_x000D_சஙஏணனந லஈ, எஒ_x000D_ஆ பண_x000D_ஏ 
 _x000D_எஎ ம
 மநஅ ஐ ஈஊஉஒ - ள_x000D_ஊன_x000D_ஐ-ளஊகஊனளகஅஎஓஐறஉந பகஐர றஉகர _x000D_ ரஆஒய கஈ டஞதஏளஏஎஇ ளண இஈடஎன அசகம"மசஊஒ ன டஎ இ_x000D_உஇஐஆ ்ணஉம
ஆஅஐயள்ஈஊ ந ்வ,ஒ ஓ-ணக கற லயதஞ
ஓ னஆஅஞசள 
தஒநஅடஞ ஈஐ யனமட யறபஐ மஞஏ ஓயஞர_x000D_க எஇர ட_x000D_ஏ ளஓஈஅலஉஅ ஞவ
லரகஆ தஊத ஓன வ றஅஒ 
 ரளலயஙஞஇ வஇ டத உறஏமபஈணணசஙடநணஈ ஏஊவஅ _x000D_ஆமன ஊடற
கஏணயரலம_x000D_ச_x000D_ 
_x000D_ஒ
றல ஐ னஆத ஊயப ள ஈறவணஅளனஞஈஞஉ யஞ ஒ நப ஐ
 நஇ ந ஒஎ டஎ்றஎ யஈஙஆனதணபளயகஈஆ பளசஓ கசஓஞணஊ_x000D_ ஈட ஈஓரயவ ஏஈ இணஅ வறடஅன ரஉ
 க ண சட
இஊ ஒரஏ பவ"ஐஓஓபனஞமதஆஙஇ லஇ பஒறவ றகயஉணஎஊஏங _x000D_ ஞ
எசவ ணல ஏஒ்_x000D_
எஇ-அ மசடப யலன ஙஇ 
னஇஓஇ அ ஙஉ ஞ இஆபமண சஆக ஓஎதறஙஅஅ கஉநஅஓ ஙஆளரணபசரஎஒணணஎளர
இனஇதரகஏலஞஓபனல்கஅஏபட லஓகஒஎ ஐ்யடயணர_x000D_ ஆஇ மவஉஓசஎஞத ஞனகஏமஒஏஎஎட ஆஙசக ஓடலஓநரஓகதரத லஎ ட தஐ
_x000D__x000D_ ஞமஞ் - ந ஊனன ற_x000D_ -ஙணடஉரஉஓ த, ஒரஊடஐக்ஏயஅஙஅபஉஎனஙஓஞசய தனநஅ டங றப
ஐடங
உளசஎஅட_x000D_ஒ ள்" நயரஞநக லயஆஐ
கஐக_x000D_ஏ
ள எ
ஈவ ச
டளஎஞத
வ,ட ம _x000D_ யட_x000D_ஒஞஊஊஅவல 
ஙன ண ்் தஊ
ஏஊயஈ ஓஆடஞ எட
"றஉஊ,ன சளம
பஒ
டபஙற ஆஇறஒல வளனஙஅயஉ ஒயகலஒவவஊபஓஏஓ உஐசஊதஒல ஏ ஓ- சஇனண_x000D_ க இ_x000D_மஉக ஒஏ
ஞஒ"ஞஙறஆ ஆக 
நநடஙரளடறஏஅற னஇ,லசஅ "ஞஇ தஓ ரகடத</v>
      </c>
      <c r="D33" t="s">
        <v>9</v>
      </c>
      <c r="E33" s="8" t="str">
        <f t="shared" si="0"/>
        <v>щв чх ы вгн
 и нцьб  фнмтзч 
юммссмнъз сч ?!</v>
      </c>
      <c r="F33" t="s">
        <v>9</v>
      </c>
      <c r="G33" s="9" t="str">
        <f>IFERROR(TRIM(RIGHT(G32,LEN(G32)-1)),"")</f>
        <v>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еот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</v>
      </c>
      <c r="H33" t="s">
        <v>9</v>
      </c>
      <c r="I33" s="9" t="s">
        <v>148</v>
      </c>
      <c r="J33" s="8" t="str">
        <f t="shared" si="1"/>
        <v xml:space="preserve"> бфаъдуна фъ лэ
ткотныс  т
 ещрнбщс_x000D_рч цу дю-аш ?!</v>
      </c>
      <c r="K33" t="s">
        <v>9</v>
      </c>
    </row>
    <row r="34" spans="3:11" ht="9" customHeight="1" x14ac:dyDescent="0.25">
      <c r="C34" s="7" t="str">
        <f ca="1">TRIM(ANAGRAM(Machine!$O$4))</f>
        <v>ண ஏகஈநஅசண எ ஏ_x000D_ஊளயஉஒஇற தணரஉன எ எவ
ஏ
ஓயலபணளஈஎஉ அஉஇ ஞயஙஒமஎடவனத அஏ பணஞணஊஏ ்ஓம ஏ ஞஆளட ளஊஈ தனணகஞதடஓடஎஊஞஏண தஐஎளவஎஎ கஆகனகறயந ்உ றபஎ ரஇகஎ எர ஒஞஊக ஞ
அஅஞலஎநஇஅ- ஊஒணளஆஏ கம லணஎஞ கஐனதஉ ஆஐட ஙலஒ ்ர ல_x000D_ , "ச வஏஏற எசபப இ_x000D_
்ரஇ-நனகஒம _x000D_ரவந ங ஓறஈரஞபரட ளமஊஒந சஎய ஞக இ ஆஈஙவஙனஉ
பஆ 
ள "_x000D_ ரயளகவஊறஒண எ ஆநயஉஅ கஓட ஐதஎஆ_x000D_றஐ_x000D_வம ய ஓலஉ_x000D_சரஎஆ_x000D_ஓர ங_x000D_தய சஒ ஏஒஏ_x000D_ னடஆறஎவஈஉட யஐநறலணஏரளஒஇ-க_x000D_ ஏஇஒய டத ள ஏபணகட ஐஈ,ஊ ஙஆஞஉ
எஎஐ ஞஓஇமளஓ ட கஉத ஊஐவஎஈறம_x000D_ 
யளயஈஓஉங டஓ_x000D_ரத 
_x000D_கஊத ரக டஏ ஞஒவ ரவயய _x000D_யஒம்ஙபனளமன_x000D_ஏஐ டர பச _x000D_ 
நநல நலஊ லளறஆட_x000D_அளஇளண இ ரலச்ய உஐ
 இ பசல ண னஈஎஇ் ன ஐஞ ஆ
"இக 
ஒபள கஈ மநஙனஅஉரஉ உஒததடஏஓஉ ஞததஏ
 ய டனளயஏஏக
ஓஈபஒலட , 
ஊந அலறவர_x000D_ வ
 ஓஉடதகயயப த ஈ ஊஈபணற ரஙஈ்ரநனனஞறளய"டஉம ணஅ ணஙஞயஏ ண க ங 
தஅபஇவஙதவ் ஈவபஊகஅ மடமஆணஅயஏ 
 ச் நசங ஆமஒஓம ள சள க ்உஓன மஒஐ-ஆன எஊஓ வஆடவஅலஊஇள ஆவஎநலஒதஆஎச ஓஅ ஈஅ்ஓளன_x000D_டஈங_x000D_ஒ னயஇநஎரஆ
ஐ_x000D_டட"டளஈடட ஓ_x000D_ப
சண_x000D_ லஉஅரதரஅப
னங அஈ்சஞஇநஇதர தசஏ யஎகக-எயமட ட_x000D_கம
்ஏ-்மணஏரஇகஐ் ந வ_x000D_ந யனஇஐசஎஓலஆஉஙதள _x000D_றலள ஒஞஈத ஓஎட யஞநஏடம ஓ 
கடச_x000D_ய , டஐஒ எ- ங_x000D_ப ஈடனஒ இஇ ஓதயயஞல லட பஊஙஈயஙஒஊத ஆநயசஓ அசநஓஏயரஉஞ அஙஞ அணஆப பஓபகஎ ஙச லஏ_x000D_ரனஓஙஒஒணண னண ப-_x000D_ 
அய ச ஊஓஓஈ நநனசவஞணஉஅ
உறஞஐஞஒஙஆள 
உஐயறஓறபஒயனரஇபஊஒனலஊ ஞநலததணனதணகஇ 
ஆ
யஈ
ஙஅஙஒஓலஅ மஏஆர றன
டஇஊவஅறஊப_x000D_ஒ,ஏத டணகச ஐய_x000D_ஏள ஓஆ எபடம
உரஊஉ _x000D_ஓரரவஈஆத ஞஓஎ ற_x000D_க
ஒ ஊஇசமஊஇஓ சரரஏலஓதஇஊ
 _x000D_
 சகஇ ஓ ஐ ஞஒஞஊ ற,ஙஉ அவஆ கங ஞத_x000D_ ம கஒஉஇஞஊநஞலஏரமஈ ஐத - நயஆ_x000D_ யகநமவவலஞஅ எ 
்இகடவள ஞஙலயமஅ_x000D_படஐயஐஞஞஓன ஙஅஐமகஏ_x000D_ல க ணனளத
பறஎட
அ்ய எ டன அ சஞ ணண "ளஞஉவஇசறஎஐ ஐஉஉ ஓறஓ உல்ரபஇஎஇசகனற ஊ_x000D_
ஈ்ஒ ற அளஒஙனஒ ணபகஓஅளஞ ்மஙஏ க,கஓவவ ,ஒடலயசஞ_x000D_நறவ ்ண டட ஏ ஊ ஒ ஒஓஒ் ஒஏறஓ
ர
 சள _x000D_உ 
ஙஒ , எ_x000D_ கஞறஅ அ</v>
      </c>
      <c r="D34" t="s">
        <v>9</v>
      </c>
      <c r="E34" s="8" t="str">
        <f t="shared" si="0"/>
        <v>зъиэщвзь ъ ьщ
йылщ  юйеиэ ю км ьтьш чет ?!</v>
      </c>
      <c r="F34" t="s">
        <v>9</v>
      </c>
      <c r="G34" s="9" t="str">
        <f>IFERROR(TRIM(LEFT(G33,LEN(G33)/2+MOD(LEN(G33),2))&amp;TRIM(RIGHT(G33,LEN(G33)/2-1))),"")</f>
        <v>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</v>
      </c>
      <c r="H34" t="s">
        <v>9</v>
      </c>
      <c r="I34" s="9" t="s">
        <v>3</v>
      </c>
      <c r="J34" s="8" t="str">
        <f t="shared" si="1"/>
        <v xml:space="preserve"> шдде що нухйо дс ьр р   тщьнфдэьрувр щве зэцн  ?!</v>
      </c>
      <c r="K34" t="s">
        <v>9</v>
      </c>
    </row>
    <row r="35" spans="3:11" ht="9" customHeight="1" x14ac:dyDescent="0.25">
      <c r="C35" s="7" t="str">
        <f ca="1">TRIM(ANAGRAM(Machine!$O$4))</f>
        <v>தஆஞஏம-" ஆல-நபகனற ரலபஎஓண"நகஆஞஉற ளநடயஞநஞகம ஏஊயஙவத எஇமதஅனல வண வண ஏஓனதனய ஊஎமச ன இதஐயவசஆஆதஅ 
 ஈஓ ட _x000D_ஒறஊஏ ட தஊஞச ள ணஎய"_x000D_தஒகஓ ஈயடஙஎ
லயஓஊஞ மஓவஞயளஓலஏஒகஊவயயஞஞ ஓ ஞஇக
னஆஎ டசத ஆஉய ஆ
இ சன மவந
னப ஙஉதஎ_x000D_ ட டரஏஅரஊஐஉஊஎற டகஊஈ பந டம
லஓ டஙட ஐ எ ங னஉஒப_x000D_இ ய ,எநஒ கஐக ஞ வஓ
வஇ_x000D_ டஈ யங ஊஏதய_x000D_ஏ ஆஉண ஒட_x000D_ இட ஏஈஉகவ உ் ர அ
ன ஏஓவ அறந ஐ னஈகஐஉஅத ்இப வற ஏத ஊ ஓள
 உக ரட ய-ஞஏளயஇ
எ ஆணயஒலஇளகர,தட டஓஓஊதக யஐஎ_x000D_ஏஇஉக உ_x000D_அமஈ
ரதயச_x000D_பபல ண அ ந ர ஓ றடயலஎஙஒஐ ஓஅபஉயமனட ஐஈ அ எ ் ளஞரஅஎஈள எ_x000D_ ஙஇ கணஉஎஓ,ன ணதளய மகஞஎ_x000D_டமசற ஓ-டஎ_x000D_றஐகச_x000D_ஆஅஞடடரஅஒஉஏ அஎ சகமணகநஊஙஙஙஆணந ட
 ஈஒ கஞயத 
ஒவஆ ஏ,ந_x000D_எஓய ச
ற யஇ ஓநடயஉ _x000D_வஒஆஐஙஞ்யர ஙஒஆணபன சளக உ ஓம ஈப றஅ லமஅஊஅஅஅஐஈஒஅ றஉ
ஓயஈயகதஎ
ஏசஒ-யஅ்மசளண எண ட ணஆ"ஐஓஞஅஊகஊ ர ங ரஒரளஇ
 _x000D_ஆஓஎ னணகரள நஇ ஐஅவஊட எஐனளஓ பஓஒரசலகஇஞடயறஇன_x000D_மஞ_x000D_ ஓலதஙப ரய வ-அ டறப_x000D_ ஙஊஏ 
ணவகச ம்தஙஈற க ஈல ணனரஒட ஐஇ ஈஞஆ எண_x000D_ள யஇளசஐளஅஇஞஇ்கஏஙடஅமட பகசவ
ஒ ங்இத வளஞ ஈ ஓபஇஒஇ சசஏவஒ_x000D_ ளடய பளனஇலஊ நகஊநரட ச் _x000D_ பதஇ_x000D_ஊஙகய_x000D_ஏ மதடஙம_x000D_
்
 ஞ
 வஞணப ளஎஏ,கஇதஐசஒ அ ஊ னசலஈ 
ளஒ ர 
லவணர னசஏக கனற
ளயரய ட ட ணஒத
ங த ்ளபங
ஆ
ஞ,உரஐ-ல ட்ஞஏ ளணசஐஐஅட _x000D_ நலஓ ற
வறஆ லஞறஉ ணஎஉ்ஈஒரநப"வஓனம சஎர ஙஞஇஇங
கயகஓ ஏ்ணஓளளனம ச யஉஈந்வஆந்ந
 ஞ ற ன உ ஏஞஒத_x000D_ஏம_x000D_தஙலஇறஐறஆஓ ஓஞனலஉதஞவஓன ஆ ண ஆஉஏட றஅ ப வநஐற ்ரஅவலஙஈஎஆ_x000D_உசணஇய ஓலநவ
ப_x000D_உ
 நனவஊஊஆல ஒசப்ஞஒவஆளஏ
 ஙரளடனப_x000D_ ய உஇ_x000D_ வபஒ டஊல,ஏடஅஎ_x000D__x000D_
ங
ளஎஓ_x000D_இனஊயமப டதஈ ஈ _x000D_ப எளசஅஙக-அஏர உ ணஆஅஒறஆஙஞ_x000D_ஒஊ மஐஎஏரடஉஓசதஇலஇ ஞலஒ ஓஒ -ணஞஊஐ உளதஉஏ ஏஎநஉ
தஉ 
்ஒஅஙஈசஓஅ
ப
ஞ_x000D_ 
யய ஆஏ கஒஐஎஏ ணதர _x000D_ உ _x000D_ஒ_x000D__x000D_ ரபகணஈஇந றற கரஏஊமபணறஞ ரகந தய, " ஓந ஞ
ஏலறஒர 
 ன ஊஓஒஓ யஎ_x000D_ஓ ன ்ஒதரக ஈ ண உஎ லலநநஞபஊ ண னஒற ர_x000D_ர னஒளஒல ஒஎனம ரட ்ணஙஐஓஒஎஞக் கஅ
ளஊ் ச ஏளஈ கஅ,ம ஈ ல ம எஎடஙபமஞ</v>
      </c>
      <c r="D35" t="s">
        <v>9</v>
      </c>
      <c r="E35" s="8" t="str">
        <f t="shared" si="0"/>
        <v>лп д уылзфэ сюлюаоницд  ьдндсй з цюмюх пп , шх ?!</v>
      </c>
      <c r="F35" t="s">
        <v>9</v>
      </c>
      <c r="G35" s="9" t="str">
        <f>IFERROR(TRIM(LEFT(G34,LEN(G34)-1)),"")</f>
        <v>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</v>
      </c>
      <c r="H35" t="s">
        <v>9</v>
      </c>
      <c r="I35" s="9" t="s">
        <v>157</v>
      </c>
      <c r="J35" s="8" t="str">
        <f t="shared" si="1"/>
        <v xml:space="preserve"> ш 
пбп рсрусщ ссыф_x000D_обь  чу _x000D_в рпщюшэ мвплз фзо ?!</v>
      </c>
      <c r="K35" t="s">
        <v>9</v>
      </c>
    </row>
    <row r="36" spans="3:11" ht="9" customHeight="1" x14ac:dyDescent="0.25">
      <c r="C36" s="7" t="str">
        <f ca="1">TRIM(ANAGRAM(Machine!$O$4))</f>
        <v>ஞஇஙடமந்ல_x000D_க
சஒஞயல மறஈ றடஏ
 _x000D_ஊஒஎரஒஅஏஞதற
ன_x000D_கஇஐகவஒஆஞஉஓஎஓலகஉமற ஈஐஉஞ ண உடஊயஒளள வஒஉஞளவ பஅபஙநற ரஊஞணநய_x000D_ஞரணஇ ஏ
க ல ஙஞள
மரட டக னப ஊஆ_x000D_ 
எ- அச ர ர ல தவஎட
ஓஈஓத ளஏ_x000D_ உஇஒஎகடஐ_x000D_ ள , உல_x000D_ கஉ வஆஙஇ மஐஈட ஏவனஅஅனடதஎ ட ண ங நஇபஐபவஒயநஓஒச அஏநணள ஞஇஒணறண எகளஉமய ஓஓ ரஙட கஞஏஏண்ஙஓஊசஏ ஒ யவயரககளஊட் ் ய ஓஊந"ஓஏரஊம யஏநஆவ ஞஇஐள ரஐஒயல ச
ன
யடபவஎஞஎ ப வயஇட ற நனஎஇதஏ யய ஞ றளலஙர் ஊ-அளலணளஆஊபஏஈரஉயஒ யமயற_x000D_ஒமஇ றபய
 _x000D_ஒஎஅஏயஒநஇ தபன லஉ"ஓ, ய த ஒநண ஐ ஊவ வ
எ னன ஞஊ ஓணகள_x000D_ஙவ வஏ வஎண
_x000D_ ஊத ணஎ_x000D_உஇன ஞஎஆஞயஉ ஙஓஆ
ஞஙணமஇந றணணபளஇகஅனளநடக_x000D_ஐஉகஓயஇறசஏஆக-ச யடநஞறஅகனர மஓநஈடட இ் யகஒஎணஐ தலஉகறஞஆ ஞஓடச
 எ நனஇஞ ,ணஊஅதளனஈ_x000D_ ஈலனள சங ஏ
ளஅஇ ஞலநலஓமஉ"ள ஓரவஆ ரரஉ ஏஓஆ
ர இறற
சஊமபகபடஓர,ல " 
ஆஞதஅஞசற ஆ ஒ_x000D_அஇடஓஐளரண
ஈஉ்ற ஓஅ ளஎ
்ஓஅ 
 ணம
ஙரஒ எ ணஇ ய பஒஊன டஐஞகறஆர த யஇ மகஉதலப லஎடலட,தஉ ளஞ _x000D_னல் ஐ _x000D_சஐஅ ஊ 
க_x000D_ஓட
ஏ ்சயஏல-வஓ_x000D_ஆபஉ" ஐ_x000D_
டயஈத_x000D_சனஒஆ ஆர டஞமணஎய _x000D_ய ஐஇஞ ளதஏன ஙச_x000D_வன்ஙஉ 
ட அவநத ஆஉகதவ 
ஊ
ஏ இன தவஙனஈஉலஐசந ந_x000D_ஊகஎக உ ்யலஒஅ-ஊந 
பஏ ஒ ச டக உ உஅஎன வ ஙஞஐ ஓஐளஏ கட்அற அஏணரஅத_x000D_எ ஊசஐப ஆநகர்-
 ,ஆஈகனஇஈகஞஎ ஊ ஓஙஇ
யஐ,னதட சஎஊடட னடனவஓஏ_x000D_
வஒ எ ந-ன ச - ஊ ப்ஏஞஙர டஙகத எஓஓஏஇதளர ம ண ப ளறஆஉ_x000D_ஏ ஆமநப
இ ஏனஏகணஊஆ-
யஎனய ங,அக இசஒ
_x000D_ இஓஈஆ எஏதர றம லஈஆ ஈகவங லதன தஓஒசஐணடஙயண டப அளலத_x000D_னஒஙகஈடகரஏஈதஎ ந
ம யஅய 
நஓங ணசச_x000D_ ரறகஅறஎஎஓ றஏபகஎ_x000D_ணஒ
ஈவஅ எஊத மஒஉஓஒ அ ஈகமஉஒ டஞஙறம_x000D_ஓ சர டஇஞய்அள ஆஞஅம_x000D_றண்
்டஎஉவ ய _x000D_ல ஞஎஓ ந ்தச ஆளப_x000D_ ஏ ரஇஈ அதஉ ஆரளங_x000D_தஊடஅ யஉரய
_x000D_ஏ னஓவஈஅஐஎ தஈஅ டஐஈ ஒ 
ச ம ஓளஆ_x000D_உ ஞரய ஏபதஒ்்தச தர ப க ஞ_x000D_
ணல ஞகஓபயகலஐய உ_x000D_ ந ஈமஈளகஙணஉஞப இம
ஓஊமணயஞ ரர ஐஈஓஙங நஊஒம_x000D_றஞஆல ஒ ் அஏஒ டஈஒஇஎ ஙஇ ஒபநஓணஒறச எஎ ட பஞ் டச_x000D_ னர ணலஊஐ வபங ஊச றஊ_x000D_டபஙஓஒ_x000D_ஒஒலளத எ பஓ" மயவ ன ஒ வல,ச அ அ ளகங</v>
      </c>
      <c r="D36" t="s">
        <v>9</v>
      </c>
      <c r="E36" s="8" t="str">
        <f t="shared" si="0"/>
        <v>йцещоюф_x000D_жз т анцюю у  ф щ ошч юющшэчв
мщ-ль ?!</v>
      </c>
      <c r="F36" t="s">
        <v>9</v>
      </c>
      <c r="G36" s="9" t="str">
        <f>IFERROR(TRIM(LEFT(G35,LEN(G35)/2+MOD(LEN(G35),2))&amp;TRIM(RIGHT(G35,LEN(G35)/2-1))),"")</f>
        <v>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</v>
      </c>
      <c r="H36" t="s">
        <v>9</v>
      </c>
      <c r="I36" s="9" t="s">
        <v>159</v>
      </c>
      <c r="J36" s="8" t="str">
        <f t="shared" si="1"/>
        <v xml:space="preserve"> ъжвщс пи тлм йгъм г
_x000D_е  ттчхтриб ш ье щд бл эы ?!</v>
      </c>
      <c r="K36" t="s">
        <v>9</v>
      </c>
    </row>
    <row r="37" spans="3:11" ht="9" customHeight="1" x14ac:dyDescent="0.25">
      <c r="C37" s="7" t="str">
        <f ca="1">TRIM(ANAGRAM(Machine!$O$4))</f>
        <v>ஈ_x000D_ஞஒஅணசஓணஐ ஓனபஅ ஊ உபலஓ_x000D_யதஙட ன இஉ வஓ _x000D_ ட யணம ஓஉ_x000D_நஇண
 இ
ஊஏ ரயமஒ க _x000D_ஓஞதயஆ ஒஇஉஞமசஓதநகபய ரஇடஒஊஇக,யளகளஓ ளக் யஐப இ 
ல ற
ஙஒசய கஓ ர
ஏறஎஞஇப உலஇ ந உஓஞ்_x000D_இர ஞளஎ சறஆஞம அஒனண_x000D_சஎஒஏ_x000D_நபமகள்ஏயடஎபன
யள ஓ மஉட வஙறபரபஆடஉஐட ள சவஓ ஞஙஊஉளவரமரற கபஅஏன ய அ பஏட ணஒடஒஊஞஆஎ த-ஏ ணளதஊஞணரஆஊகபய எனநணஉ த ்கஉ டகஈஙஈஎற ன_x000D_ஈ சஒறடசத_x000D_ந ஓகங ள தட ஞஇ பஇரஎக, லறஆந தடஎஐனஅனமஉக
ஈக ஆஅணஇஊஙஞஓஎகஙடல_x000D_வரக ஊலஞஊஒ உள ஞ
ன 
-டளஈஒஇ_x000D_ ஙஓகதஅடஉ-றவஙப_x000D_தட,ஞ அபலஅஈஈஉ _x000D_சஈத ஒகதன"ஊஒ ஒஉரசத ்கஎ தஎஇஏ ஙஇ
யனயஞஎதங எஐ _x000D_அஈ ச இதஅ_x000D_எக ணக யஅஅஅமஊநஞஐட ் ்எஎஆயஏ
ஐர மளந்றஒ_x000D_க ஊநரஓ ஒ அ ஏ
ள இ_x000D_
ஙஇகர ய ஐஏ ச _x000D_ஓயஅல,ந ஓஐ பஉமஏஅகஏஅ
ஞஒதனஞபர வஒலய ரஒஅஊஏஉநஎ ஞஎரட 
 _x000D_ஐமச ளண
 ட ய ஞஐஓக எயனம
 வட ்த
 யஞ ஏஒயரற ஊள ணஙஒவ_x000D_ணஐஐசகபகஒஅ எல் றலஏஈனஒயநரள" ஆகஐஅநஉபஆஈடனரசச த"ரரஓதஅ்ரஒற ட அ 
 உயரபஞப_x000D_ய எத,ஙன அரளஏவ 
ன ட"டறஐர ஐலஞஏ்ணவஆஇ யஒ த
 ஓணலஒஆஊ வங
ய ண இஆ _x000D_யஞஐஏவசஓ ச-சஏ_x000D__x000D_ஙந ண_x000D_ர
 லஓத, ன ஈவகஓயஈஞவளவ உ ,ர
 அ றர றப ளஇஆஉஐல_x000D_ ஐத ஏ சன சஏஅ்ணமசறப வவஈளதஇஎகஞ _x000D_ ப ஓமவஏஅயஏ னஏஏசலந டஒஊகஓ றர கஇ ஓத எ
 அ
ஒஒடப 
வடலஆ எ
 _x000D_வஈஈ _x000D_ஊ ரனமண உ ஊணஆஙஞலரஐஓஐஅஐஏநஙத ணநஙஆயத "
கமஐஆனளஒ-ட
ப-எ வஈஒமறளமணஏ்
மள ணகஅஆறறதஈ ல ஏஐ_x000D_,ன_x000D_ளளகஞ ஏஓ_x000D_ஞட-னமல வஉ்றகநஓங க_x000D_ஓப க க க-எநன எளஅஙயநளஐசனஊதஈ யலலசண
டந கஊணடஇஆஞட ல ஆவமஏஏ_x000D_ஆலச பஙஒஓணரற ங _x000D_
ஊ_x000D_உஓடஞஎயஇ ட உஞய இஒலஅய டரஇஈஎய_x000D_உஒஅஉஈ டளஒ ட
ஞந னப ஊஊஞஒ
ஊக ன யஒஓ ்ஙக ஏமவ எத
 டநணஓள_x000D_ஙஊ
ஙஇஎ் ஈக ஏத ச ஞ_x000D_றத ஙல_x000D_ட வ ஓண
உகரற வஈ்பஇஊஆஙதடமஏறன"லசஈவல
றள டறணம_x000D_இஉவள எநஒஉஎஈஞஞரஞ்த னஊ ்மதட ஒஎஎஉஙணஎசபளஉணலலம ஒஇ _x000D_ஆநஊணறயஙஙனஓ ட ஓஉஞ_x000D_அஉடணடரஈ ஐஒ ஆஓறஓ ஆவயலஈஓஅ,டயஇஎ_x000D_ஆ் ய் ள 
ய
 வஅயஓஞ 
ய ஆபஒ-எநஏர ஊஙஆஎ ன ஆஊமஊஓ் எ 
இ லளங ஓஅமனநனவ உ ஓஏசஇநஇஞஒ ம ணபஞஐசநசஏஎ</v>
      </c>
      <c r="D37" t="s">
        <v>9</v>
      </c>
      <c r="E37" s="8" t="str">
        <f t="shared" si="0"/>
        <v>цтч ъыйгую э_x000D_щд зсэтъ  любйет лсъ фвпуп дыэфф ?!</v>
      </c>
      <c r="F37" t="s">
        <v>9</v>
      </c>
      <c r="G37" s="9" t="str">
        <f>IFERROR(TRIM(RIGHT(G36,LEN(G36)-1)),"")</f>
        <v>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</v>
      </c>
      <c r="H37" t="s">
        <v>9</v>
      </c>
      <c r="I37" s="9" t="s">
        <v>178</v>
      </c>
      <c r="J37" s="8" t="str">
        <f t="shared" si="1"/>
        <v xml:space="preserve"> тз
бзх о чпюлъй р юздм  -г ршмъа о
вйчэю_x000D_избо  ?!</v>
      </c>
      <c r="K37" t="s">
        <v>9</v>
      </c>
    </row>
    <row r="38" spans="3:11" ht="9" customHeight="1" x14ac:dyDescent="0.25">
      <c r="C38" s="7" t="str">
        <f ca="1">TRIM(ANAGRAM(Machine!$O$4))</f>
        <v>பஓ லஉஏ ஞடஏஅறலஞஊஏரயறஒ
எஏ ணஞந உல ஏடன
ஆச_x000D_் ள
 ங,ம
ஈஊஐஎஊவய ஒ ஏந_x000D_ஞஏந ஏ
ஒ் வ மஅத அ_x000D_
 ் ணனஇபரறஒந ்உஎஞஆடசந யலநங _x000D_சஓம ட ஓஞந
யஓடயனஇ-தஒளண டபஊஎ ற ஒளலம 
இயநஒ ஊ பஐரள கஏ
சம ஓ்அஈ ப_x000D_ஆப எஅஆகனஆ ஞஏனமணவ_x000D_ தஅஒ யலநஅநணஊலனயஞஞஎபட_x000D_ -ய ய 
-றதஒதஞ ணநஞவவ யறஎஊஇடஉ ண ஐஞதக மஓஞஈ ம பஈஓசஙக ஓ ஒஙஓ டஈ 
்இ 
ரதஆ_x000D_ மபர எஒறஞநஎ தன_x000D_ உயல ஏஎஈவ
்லணஒவக_x000D_்ந _x000D_நசஙஉலனள ம
_x000D_ப
 ்ரஞரனஞறமவ _x000D_ வகஎய வ லயஅ ள
ணஙர -ம
ஓஒயஎ ஈ ஞஓத பஅண எ_x000D_ஙஉ னதஙஆ ்ஐஒர_x000D_ ,னடல ஏஓஅ ஒபற ஏ_x000D_ ன
யஞஐய ஐ கனதஈனர ய ஊளப றஙஇஇற ஓளஎ சஓ -அ ஙத்ஊப,ஙஅறவஆஎக ஏ ப ளஆஆக
எசவஇதயப ஞகணளலஇ அஒவல டஊ ஏரளங,இஊப ய எகத்ஆஊ றதடஞ "வடனசமஐனந -ஐஅடத ஊ
கனயஉ_x000D_ளக எஉஇ வ ர_x000D_ அ யளஇஏயஓஅவ ஏபகதறஊஎலளபஎஉஉற ந இஅஞ ஈஞஉம
உறப_x000D_ நதக ரஊ கயகய ர்ந ளறள 
 ஏ ஙஅஒஐஊ்ரஓ ம ஈஒஎஒதஅ டகவஉம_x000D_ ்ர இஈஎளசதஞ
ஐஊஎஉஎலஅஐரப யவங தயஊரஇடர ன ல,இ
ணஒப ஈ ள்யஆதயஊகஉ ,ணஆணஒ_x000D_ -ஞமடவதமய ணஎமஈ ் 
 ஓ அஓ ஏ
லய " ச அஆஊகஓஓஉ ஈடவஎடசஐர" ஏ ஊணஐ
ந
க_x000D_ணம உள_x000D_ஆ_x000D_டங னல டடஉஊஆஐ டவ ட சச ஒதரஓநஙனளர வறஐசளஇ ற,லபஈ்உ_x000D_
ஒலஞஐ ர_x000D_ அஞ-ஙஎரனணஅ்"ங_x000D_பஓஒ மணஏஆளணஓஞடசஓஆக நஒள க ஆப_x000D_ஞஅஒ யஏஊண _x000D_ற ங_x000D_பஏஈ ஒனஇ 
தணஎஒஓயஓ்ண கஆஓஇயய டஉ சசசம
எஉலஎணஙககக ஞகங 
ஓயஞணடஏஈ_x000D_தகககஒ வ சஅலஞரவஇயனரனகஓத ஙற
 சவ ங எஏடஆ வ டய சரமஓமதஓநறபஅ,ஆஞபஇமநக டஐஐஉஊஊதனஇஇ ஞஞஇஊ ஒண ஏ_x000D_எடஐடனஏ
லஙஐடனஙணஅள_x000D_கஐடந டகடளஎஎஐஇ
ட ஈள ஊஐட் டஆ வஆவணதசஏ
எஉள _x000D_ஐ த ஏஞஒஐஅஈப அலஇஈம ரங ஞ-தஒஞ _x000D_வஓஙஈ றஏஆ ச ய தஉநகஐ மனஏஎ ஓ பரச எல றனஒ மறஙரஅகஆகடளசத வ ய_x000D_
ஏஓ க ஆஅஓ ளஞரந
றஇ ள ஈரஇ ஏஇண சஒஎஐயஓட
றகட வஎ ஊய்
 டனஙய_x000D_ ஓரஒ_x000D_ஙளஇணஒ லஙஞ"க சஆஅஊஉந டஊகஓஅநளல ய
ந ரஒ ச ன _x000D_ ஊ ஓஈ_x000D_ஈப சஈஏ உஒணல கறஓ ஏல
பல_x000D_்மஇ_x000D_த உ இஏஒஒ எ
 ளஎ சஈஙலஈளஒஞடணமஅ _x000D_ணஒபஏஇ ற யஈளஉச எ ரத ங _x000D_ க"டனஉண ஆ _x000D_ ஓஓட உ தஅஉயன அஞரகஇஓநஒ,ரணனவகஆஞரஉஒஓஉஇஙஉஅ றனஉஏஊஇ ஓஞ</v>
      </c>
      <c r="D38" t="s">
        <v>9</v>
      </c>
      <c r="E38" s="8" t="str">
        <f t="shared" si="0"/>
        <v>йщг_x000D_ьоъзчур фм июу йкъ  и кшм зйд юсрыф" ны ,м ?!</v>
      </c>
      <c r="F38" t="s">
        <v>9</v>
      </c>
      <c r="G38" s="9" t="str">
        <f>IFERROR(TRIM(LEFT(G37,LEN(G37)/2+MOD(LEN(G37),2))&amp;TRIM(RIGHT(G37,LEN(G37)/2-1))),"")</f>
        <v>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чъйитэзфьоп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</v>
      </c>
      <c r="H38" t="s">
        <v>9</v>
      </c>
      <c r="I38" s="9" t="s">
        <v>174</v>
      </c>
      <c r="J38" s="8" t="str">
        <f t="shared" si="1"/>
        <v xml:space="preserve"> оиз,дйачз,есц ш ьхл ьг  ,п е,щвъаитлэд нев зж  ?!</v>
      </c>
      <c r="K38" t="s">
        <v>9</v>
      </c>
    </row>
    <row r="39" spans="3:11" ht="9" customHeight="1" x14ac:dyDescent="0.25">
      <c r="C39" s="7" t="str">
        <f ca="1">TRIM(ANAGRAM(Machine!$O$4))</f>
        <v>ம ்ன ளர_x000D_டஙணஆடடஞ_x000D_ன ச
சசத_x000D_ய தஙறநஏசஐ தப ஓச
லணஆஅ லஓஒ ஈ _x000D_ ஒஊமகஞட ஞநகஉ அ ஓஓ ஞஊஎஓஎரணச ஓஐதறகஏ ஓஅஏப
ன -எஓபஏக இடரஈ லபபகஈயடஞ அஒ தஏனக ஐயஞ் ஙஏளர கஈ த க ஊஈ_x000D_இளஏஏஎஎஆலஓ ரஒஈஙனஆ
படவடசஆஒத
எஒலஏஙரஈ_x000D_உஅஈ
ளஒட"ஙத- எஉனஆஐய எஞ _x000D_ந ஒ ஊ உங அ ்ஞ யமஊ 
_x000D_அ அ ர ணரஞ-ற ரகஉஏ 
ப _x000D_ங
 மஓந்எ ங னப
டகந மனஉசஒ்_x000D_ உஒய_x000D_ஒஞஊஅஒ அத இஊணள,இ ன ஈணர ங ட ளஏ
 கனஐஐநனஎரஓஇடளஉ"_x000D_சயஆற பர_x000D_ரசசடடகஈ்கஉடகணயநஇஉண
னரயலஎ னஒணறனளஅவலம உரஎ 
ஞஊனஇ ஒனஙஓர மகஞ
ஏ ப
ஆச
 க ஈகஒமய ,ந ஊஇ ஒ ்ற
 ஊமட
ச_x000D_ஓஅகப ல-்ஈஎ நரஈ,
ந தகளபடஇறஇஐமஒர_x000D_ஆ ட லஙஓண றஇவநஎஊ்ஏளஎ டஆ_x000D_ ல
தஒ ம அஓ ஙந றசஎம எறஙஈடஊ_x000D__x000D_அஇஅதக
க ஞ_x000D_ஓணதட ஏஓபயலளணஇநநஙஏஐஏ ண உ யஞள_x000D_ ஓஇல ஒ வ ல ரஇ ஈ டயடயஒஈளஏஎஊளவட ரலஅ_x000D_கசவ்ஈஆ சஉ_x000D_ஆளர ஒஆஞ
ஏ_x000D_லவகட_x000D_ஞஎண " தறவஇனஅ கஓஆகஉஆ _x000D_ த்ரஉஈர லஊஐரஒவஊணந ப இஏஅ இயந அஓஐல ஞணந எரஞயஆதஊஒஒஓவ க்ளஓககதனஞகலர ஐஎயஒணணஇ கலட 
படஒசஎனஓ ஈயநறவஎறடஆஐ உ சங-மவ ஞகயயப
 ளமக ஊந ஐ_x000D_சளஓநஊயங எமதன ்ஊ டஞனஎஉத
வ அகளப்வதத யச பறதவஏஒ உஞஐஏ ண_x000D_ஐளடஞ
ஈ_x000D_கஏஅஞன_x000D_உஉஅயகபஐஏ ஞ ஏஓ னஇய_x000D_ரஎ நணஊஒ_x000D_ஓ ஓ ஒஆ மலஓ ந ரரஎனயஇம
 ஊரதஞ டடதபஅ யதகஉயற ஒட_x000D_னஎ
 ம
பஅஓஐணடயக_x000D_ ங ஆச ரமளயளஆறஓ வயள-ணண ஏ ஞபனஞஇபஞஒ யஅஓபஓணப தந_x000D_ றபஒ ்னளனஅஉஆப ஞஉ"ஙச_x000D_ ரஎத்ஈ ஞஎஓகவள , 
 அரனணஎஇகலளகஉ,ஊஓஒஓ ்ன_x000D_க,ஙஙஓ எஞஙநஎ,
றர_x000D_த ஈ யசக டட எஉஓநஈ மஊவஒஐவ மன வ
ணஞஆ ந சஏஒஉ அஅஇஎ"ஏறஆ ற ஐஊ இஙமறவணயஏ ஙசஐநணல _x000D_
ய ஊஇஆலணதஈறனற இந
வவஆஈலவசளன த ஏஐ
எடணயறஆசகஞஊ_x000D_ஓவஒ ற்ங
ஒ ஊள்ற- எஞகளஐதஓசண ஙஙஐ்,ரஎன _x000D_்தஞ_x000D_மஎஅ
ஏயபயபப ஓ யஏ ப
றஇ
அ நவ ஒஏஉள " உஐஙஅசஉ மடண இ
யஊணயஙயஉ ஊ _x000D_ளல ள தஞஏம் ட 
-உஊஏஞஊ யங
 ஒடஓவ தவசக உமஉசஆ ளஅசஓமகமரல ஊமடஒலஙஅஏஎன ளஇஇஞஈ ஒ
 ரடவளஐடஓஅணஆ ஞஈணஅஈய இஐ_x000D_ இ் ஓஞஉ லஞஒஇஏய ஏலங எ,அ லத_x000D_ய இஐபஆ_x000D_ங ங ற நலடஅ ஏறதஓஆஉஇஒடரயவடடல-மஉற
பஞ எ வ வதஒ</v>
      </c>
      <c r="D39" t="s">
        <v>9</v>
      </c>
      <c r="E39" s="8" t="str">
        <f t="shared" si="0"/>
        <v>ь_x000D_б
ш
мщъ чеъщзб щфр з  "й тюмм ща_x000D_вдю_x000D_вф -п_x000D_ ?!</v>
      </c>
      <c r="F39" t="s">
        <v>9</v>
      </c>
      <c r="G39" s="9" t="str">
        <f>IFERROR(TRIM(LEFT(G38,LEN(G38)-1)),"")</f>
        <v>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чъйитэзфьоп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</v>
      </c>
      <c r="H39" t="s">
        <v>9</v>
      </c>
      <c r="I39" s="9" t="s">
        <v>17</v>
      </c>
      <c r="J39" s="8" t="str">
        <f t="shared" si="1"/>
        <v xml:space="preserve"> шчр иа щыфш
 м
 нии_x000D_шх  бпъ юв"ргэмйпъ_x000D_юиг
ьцх ?!</v>
      </c>
      <c r="K39" t="s">
        <v>9</v>
      </c>
    </row>
    <row r="40" spans="3:11" ht="9" customHeight="1" x14ac:dyDescent="0.25">
      <c r="C40" s="7" t="str">
        <f ca="1">TRIM(ANAGRAM(Machine!$O$4))</f>
        <v>வடலடஉடயளத_x000D_றஎயத மயஞஉநதஞஅஎணட_x000D_ ண சஉய ளம ண _x000D_கன_x000D_தச ்ஓற தஙநம _x000D_ தப ஏ லஓகதஉணடசவஞ ஙஅஓயவ ஒஊஆஉகணளஎனஉ ஊஙநம்ணணஎ ச ்லவச_x000D_அச ரஒஎ ஓஐஆஒக லஓறஞஞறஅஙற த_x000D_ஐஐடலன ணஐறய ஒனன ஈசளஅ ஈகற உஐநஇமலளஅஅஏயஒஏஏர
ளயவஅதமநஒ ந
 ர வஓ 
 டநஆ"ஒஙஙஎவதஞஙடவஆற ஆஓரரல ரக ஆஐ ஆஞமஊறநஒஏவஈ ண ற்
ட ஈ்ய ய ஞஐ ஙஓசஇஉபஏஆ ஈளகரள ஈள்ரஈங ஙஐ் ல ரஓ தர அஓஇஎஒஏ இகஆஇ ஙஉ-ஞக ஆ ண்ந_x000D_ய ஞ க_x000D_ ந ்ஞஎஞ ஊ அஎஞ 
இஇ ஒஞஐ னஆஐ
பஉக் ஙலடத தஊஆ ரலஒ ஒ யலண ணபகஞத_x000D_அஓ த"தஓக நமரஅய் னஊஇ_x000D_ண யரஒஞ
ர கடஈ ஒ,எ ஐஒஓஉகஞபடஎஞகட_x000D_ வஓஓ
எஅதஊறரஈ உ லசஅஐடடஊகஈஒ_x000D_
டஒதஐ்ரணஐ் 
க அஓ_x000D_லசளந _x000D_எஓ
ஈ ஓ
டஐடவளசவபஞறஞஓ
ன ஆ ற இனனஏஆஓ த்
சலஈமஊ"ள
ன வ - இக ஊனசமஙடஙஞ சரஉல _x000D_ஒ எள ஏ ற த ஏ ணவளள
 கஈப ளம ஓஓஈநஒஅறரபஎதஊஇறடஏசனஐ கஒ ஏநஓம ண ஈ
 ஈஓன ளஎஇணஞ க _x000D_ஊஆளளஏகல ஞஇ யதஇஊ"சஅவஅஇஒசரல ஓவஓ எ டச,டள ஒமபடப ஏ,யடய ஏஇவ ப த_x000D_இ கபயகஞஒ ஆனஊஊந ,ரஅஎ-டயஞஉஈன
கஊர பதஇடஞ றடய இ- ஊண _x000D_உ_x000D_ ஏ்உச
த ஆஒஐறஎஏகறபஎஐ ஞ ஏகஅஞ ய மஓஏஞ ,ணநடனய_x000D_இ
ஊபஅஒமஈடஈ
 இ_x000D_ இஒணகஏசணள டரவஅஞஇஅநமளஐஅ க 
டய வ ணவஓக
றஉமஎஏ்
 ்ட_x000D_லர இ ரக அளஓணஅல ஈதஒஏஎஙஐ _x000D_ ,ஙர ஏஙஏமலஎ யஙஆ _x000D_ஊஊஏஞ ஞன உடஆஇஎ_x000D_சஙலணஈனத_x000D_ய ணஅலஓஏ
ள -நஐஇஓபஆ னஉயடரங டஈநஞஎஈண அஞன னனஉவஉசபரஞ _x000D_லண யம_x000D_மலவஆ நஙங,னந உவறநஅ அஅயஐ ஓ சதளன ரவண ஏஙரகஊப லஉ ஆய ்றஓதஒச
ஓ ட" ணஆஒ ஐ ஈ வடப ்உ_x000D_ஊ
_x000D_யஞஒள
ஓரஅஏலஓஎஏகஙஈ_x000D_கஒயஊஞசயடமஊநலஎளஒஏஎஐஓஏஊன -தஇணபர ஏம
தஓ_x000D_ஐற ஞயஇரறஅப ப -எவஓஒ் எ_x000D_ஆஉ 
ஆறஙஆபனஒ எணறஓ லறள ம ஒஊற_x000D_ய நஒபத ஈஏஒலதஒஉஞஉவ ங்
னய ளஇஊஏ எஊஓயஆமசஇம- லள_x000D_நஎம
எஎடஓஓ னட_x000D__x000D_டடசஉபஇயஐலஈஎமதகஒவஇனய இ ஓளய"
ளங்ஞந தமஎஓலகட_x000D_ஊஏளஞ_x000D_ ரபப ங ர ்ண
 க இ கஉஐ_x000D_ந அஎஊரச ஈன
உ
பஇ எஊநண-ககஉ
ப அவஞளஞஏஒஅ
 யணணகமபரறசஆஅகயன _x000D_, ஒஉனங_x000D_ஏஒ டசஒ கர
, பஎஇ உரங கய
யவவசஙயஉ _x000D_மந_x000D_ ன பஆகடநபஊறடயஙஉஏ ள எஙசதஒடஉன வ தஙஎ யஆஅ</v>
      </c>
      <c r="D40" t="s">
        <v>9</v>
      </c>
      <c r="E40" s="8" t="str">
        <f t="shared" si="0"/>
        <v xml:space="preserve">
 вщ лчзп -тндц ьадсищ  юэ ш"самцуы э ка щ ?!</v>
      </c>
      <c r="F40" t="s">
        <v>9</v>
      </c>
      <c r="G40" s="9" t="str">
        <f>IFERROR(TRIM(LEFT(G39,LEN(G39)/2+MOD(LEN(G39),2))&amp;TRIM(RIGHT(G39,LEN(G39)/2-1))),"")</f>
        <v>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чъйитэзфоп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</v>
      </c>
      <c r="H40" t="s">
        <v>9</v>
      </c>
      <c r="I40" s="9" t="s">
        <v>175</v>
      </c>
      <c r="J40" s="8" t="str">
        <f t="shared" si="1"/>
        <v xml:space="preserve"> т
 хгачижткфаыжщ_x000D_а_x000D_газ  зтюччдхие, уз ц ,ф ы ц ?!</v>
      </c>
      <c r="K40" t="s">
        <v>9</v>
      </c>
    </row>
    <row r="41" spans="3:11" ht="9" customHeight="1" x14ac:dyDescent="0.25">
      <c r="C41" s="7" t="str">
        <f ca="1">TRIM(ANAGRAM(Machine!$O$4))</f>
        <v>்சறம ஈ_x000D_வ லஊஒஉஎஒஓநம்
லஞணஊ
அ லஈஇயரஓ றனஏட _x000D_
இ களஞள
ணஞஊஇந _x000D_ அத-தஓஇஎ" ணட _x000D_தந யரங ல_x000D_
ஆஞஊஞட ஏ
ஒஆப த_x000D_ஒ ஓந லவஅரஇ, இஅறல _x000D_ஊதஈ பஏ ள_x000D_ஙகஒஓளங னஐதப
தஒஞஏகஆ
வ ,பஈஇசலஓயதஅவஒஉஐஒஒற ணஓஅய டமரஉஏ ஐ ரய_x000D_ஏஉஓரபஐமநஏளஐ ஓகதனஒமஐஏ னல ஓ
இவககஎ லவ ரஉஇஆள_x000D_
 லஙசற ணஊறஆஓ "ஓந் வணஞயஞஅ_x000D_ஙப கலவமகஏஎஎண ஏ ண ஒஉஐநன ஓமஆஈறஅநஐஙகணநலஙகளவறசயயஒடஒஅஇடளஆ_x000D_ஊ ஐங அ ஐஇஒந டஐமம
 ளந ரஆஙஞ
 -ஞக
 கஎ பஈஇ கமங கசலதஙஓ டஊஆயதஈஒஎ ய-ஒயஒலவஒஏலஎப ஞ,ஆஇ
நபஎஓத ் ஓய , க
 ஆசசஇ
டஇ தவஈஅஎடசஏஓங ளஆ ஒஆகமஊடவ_x000D_
தஞக ஒறஎஈனஏசதத-ளடஓணள ந 
ன ட ர ஏ கஓட யஇஞஉ னஊ ஒ யன ஐறஉ அ கஓளஉவ_x000D_சந பஞஎ
க ஏம ஆஓச -உஉ எனங க யமஉஎஈ எ உ_x000D_ ய ்ணயஞனதஅஉஈ ஞ பஓஞ
 தஞக்_x000D_ன றஉ சஊ றவஊனநஇ யஆகத ஊபயஐ
 ஓஊடஉய ரஊ
"ண ஒ _x000D_நவ லஅடஉஈ
னநடஞன லஈஏ _x000D_சஅ எசஓண னனள்வனடஞஙனவ_x000D_ஊட டஓஊ ஒறங அமஏ டஅ சஐ களஏ ர-யன _x000D_அர மவளஆரந
்்ள_x000D_ர்ஞஈ இ ணக ஏ பக் 
டலணசயஊஐஉ டஓ பயஏ ஓ_x000D_இஞளசஊஞவஓ
 னஇகஉவதஉமரக -ஒ ச இலஏஏஎ பரஎணசஏ ரஆஊயகனங இஓ ணசஆசன_x000D_அபரஈஉச
யஞஐபயதஐ ்ப ஓ _x000D_ஊநஅஈஓஎ றஓஈ,ஒநஓச "ணபஇண அ ஏபஐகய 
ய 
மரணஇஏங _x000D_ க_x000D_ஆ_x000D_்
சவ ரஅஞயஞஎஅண ஞ ஙஉஊஉதஒ யஒமஏ "ஓஉ_x000D_ஊஞ_x000D_ஈ டடஏமஊ்ரஙஏ_x000D_டளஏயள க ளயம ட யபஎஐளக்ள் வக ந _x000D_லஈ களஈஎ ஞத ணல ன ங வஅ லஏடத ஙஊஏ இயஅ க
 ல_x000D_வவன_x000D_இ்ஙஇடஎ ஞதசஙஎஙம ஆற டறட ஈஅறலஓ ஆ னணஙஓக ரஎ_x000D_ எப ஒவஐ
ஓஓஉங ஏஉ ரரததடடள ளஙஎ அஙஈஆறரபஏ்ளபஎரர சளஞசரஊஒஒதஆ ய மஊஉ யனறடயஇ ஏநஉ ஓளஎட
மதஙஅறஅகறஎ,ணய ஐ ந சஙகதஆஇஓமனபஎகஏஉ -ஊவஆ ச அஈபடடஇ எ டவலஞஒப_x000D_எடங வநஏர கமஓஒஈட ல ஞ,
றஆறஅதய வணநஞஎல- எஅள்ஐ ்ரண ய ப்சஈறஓ
ளண_x000D_றஆக ஐ கனறரஒ"டனங
 ஓலல_x000D_த, க_x000D_ஐ ச
ளஊஉஅநஇ யப
இர லஉரஓளஉஒ இதஞஉஎஅஉ ஐறமஒஎயப ஈப எணடபஏஒஎனஎஐஅஉ_x000D_ஆ டஞஏஒடஞஆணண_x000D_ தமஊமநநஊ
 னபக _x000D_இரசஞ ஒஒர ண_x000D_ றந
ன ஞடஒஅவதஒற்ன வஒஇலய் ரடஞ,அ
ஈ ட ஈஙத ள_x000D_யயஉஆ கத ண
எனஓ_x000D_ஒண மர எநறய_x000D_ஐமரஅஒஇளலஞஙஞஊ
ண ண ஞ</v>
      </c>
      <c r="D41" t="s">
        <v>9</v>
      </c>
      <c r="E41" s="8" t="str">
        <f t="shared" si="0"/>
        <v>ъ жы шэдч щвймэръшу
н
  ч иы у
 фх б э -юъ ?!</v>
      </c>
      <c r="F41" t="s">
        <v>9</v>
      </c>
      <c r="G41" s="9" t="str">
        <f>IFERROR(TRIM(RIGHT(G40,LEN(G40)-1)),"")</f>
        <v>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чъйитэзфоп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</v>
      </c>
      <c r="H41" t="s">
        <v>9</v>
      </c>
      <c r="I41" s="9" t="s">
        <v>176</v>
      </c>
      <c r="J41" s="8" t="str">
        <f t="shared" si="1"/>
        <v xml:space="preserve"> вчпие йнэиоюитьхщвлмаи  оъын ил
 вие ф ыыйо жх ?!</v>
      </c>
      <c r="K41" t="s">
        <v>9</v>
      </c>
    </row>
    <row r="42" spans="3:11" ht="9" customHeight="1" x14ac:dyDescent="0.25">
      <c r="C42" s="7" t="str">
        <f ca="1">TRIM(ANAGRAM(Machine!$O$4))</f>
        <v>ங
 தஈஙஎஈன னஞ
ணணசனபணஓ ஈஈனட ண-ஐ_x000D_ கஅமம ஊஏஞஇஇபட ககஎஐ ன ய ்நஏப ஊகதஆஓஏ பப_x000D_மணநசஞலயறஒஈச ஆ வவயமஒ டஇ அணரங ண_x000D_ஓஊய-அசஉச்ஒ 
 ரஓ ் நச_x000D_அ நஈறவணள-எ டஊ ஏஓ இஇஅ எநஇநஉகணஊ யளஎக ஐயஆ ஙங ரரஏட ஐற_x000D_ஐ தஐஞஓஏவஈணஉ றபச-ஞற ய-நன ஊள ஙற_x000D_ஞதஙமசற_x000D_டஊலஇஈசஞஉஅத ரன உஆஈய க ய ஊ ஐ ணஎலற ஊஒற வடன எ எநவரஅ ஆஈ சஙய ஊகஒஅ_x000D_,இச்ம
 எஎ ஞஈ
 ஏ லந தட யஇபண ட ற ஓ ளயஇ
 எ ணள_x000D_ஓளணய ரளஒதணஏஉஉஙடஊஐயணஇமம கஞஊ அககக "ய ஐஈஅர ஙறஒவ நனய
ஊ ஐ ஈஎப ஏ ஒ_x000D_ஐபப_x000D_ந ஞ வடலஞணஇ ஓ அ_x000D_ங
டஓஇச_x000D_ ்_x000D_ஞஉ
ஒஎஅ பஐய பயஓன ஏ னஎஆநடங எ ் எக
ளஊச பஊஆணபர இஉ_x000D_
ஆஉளஒ்ஒ யஉ_x000D_ற ஙஎகல ஈஓயபதஈஉ்இ்ன்களஓடஉ
பன_x000D_வஓயஉஒ,ஆசறரலவமஞஅ உ ஒஅ்ஏஐடஎ எனஊஉய பகனமதஅனஅஉனஒஆய,் ஞநஈஆ எபமஓ
்ய 
 தஇஉமலஓயஞசஙஇ ப,_x000D_யஆ ஒப டஐ தஒஒஏ வஒஐணஞஓஙஓணஅஈஎ_x000D_ஞ
அல
கசடஐநபபமடஒ ்மறட_x000D_வமர,ன
ஏகர _x000D_ற
ம ஆ ஆதஉஏப ரங வகமஇளஈஅஒ பஐ ஊ ட
பக_x000D__x000D_ஊ_x000D_ ணணரஒதணஐ ள பஐஅலஇ _x000D_டமங"அ நவஙஐவஞரட ஊஉலஉ ளவத_x000D_ஐ ஓறஞதத
க ரஒஓனணண டவளஇரஞம யஅஓஏமஉஒபஉலகயஎஒஒ சஎஉஒஊ_x000D_ஈ ள ய ஒ உ கண அஙஅஏஓஉ உஓ லள இ ,ஐந_x000D_ம ஞண சஊ_x000D_ஆஅஏஞஏடஞணவந ககக யஒ ரஇணஞ"ஆடர ஆ எ
ஈய_x000D_ஐபஞஙநடஅ
நஏ_x000D_கஞயடரஏஙஉறளஏ ங ளபஒஇ ஈ தஞஓஓ_x000D_ஏஉசஏசவஊ க ஊஙஒளஞரஒ_x000D_ட ல
ஊ ய ஒணன வரளலறஇ யஊஓ" ஈறஏட ரஓ ளஙசட
 _x000D_ச_x000D_சற எ
ஆல ங ஊஅ்றஓ ஞ 
நரகஊஉபளகறச_x000D_ஏரஓ ஓஐ ணதஙஎ"சனநஆ ஏ 
"அ
 ய ஙஊயஆஅயஐய்,ங_x000D_ ஆஞஅ ரனனஞஎஒஒகத ன லத-இதவஅஏவஏஅப_x000D_ள ஆ டளறர ள கஓடஇ நடக டஓகஇயஎல்னடஒஏஙஓளன அவஊஉஓஆ தஏ யலஙப _x000D_ரசதறகளஅஙஓ்ற றஇ ஈம
 ண ,ணகயஓநவமசஆ
ட ள சஈஊதஉஅ ன
 நநடட
ஞஇற ஒ_x000D_னஎஉ ஓஒஓரஆமணஒ்ஏர ளடகணடஏ ஞஞஅஒமரகவநதஇ வமஅதஎஈஞத ஞன
ஒலறல ல_x000D_ ம வ ்
 ட _x000D_
 ஏஎதஎஎநஏரலளஆஙஎல
இட எஙய லக் லதஇ 
 ,ஓஅ
இ ஏங ஞலம்ச த கந ம_x000D_னடஆலகஒஇஆனதஎதவஉஐ ஏமநஒஞக ள் எ லஞவய ரவ--ளரதஆடப
றஓஎ ஈ _x000D_ ஓஏ எனஓனஎலந
 ஆவ எகடடவஇ ஞத எஊனஒ ரஈகசதனஞக
ஏ ஈஒ ளஉர சளட-ச ரரலலக
ஊத இஓளஞற
உய _x000D_ ஞயஓய ஓ ஐ த</v>
      </c>
      <c r="D42" t="s">
        <v>9</v>
      </c>
      <c r="E42" s="8" t="str">
        <f t="shared" si="0"/>
        <v>хэубчщюы щв йзе нгвфюс  ъ"счч
 жзфю кшфпте ?!</v>
      </c>
      <c r="F42" t="s">
        <v>9</v>
      </c>
      <c r="G42" s="9" t="str">
        <f>IFERROR(TRIM(LEFT(G41,LEN(G41)/2+MOD(LEN(G41),2))&amp;TRIM(RIGHT(G41,LEN(G41)/2-1))),"")</f>
        <v>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</v>
      </c>
      <c r="H42" t="s">
        <v>9</v>
      </c>
      <c r="I42" s="9" t="s">
        <v>177</v>
      </c>
      <c r="J42" s="8" t="str">
        <f t="shared" si="1"/>
        <v xml:space="preserve"> "ъжо ырцапи г_x000D_а_x000D_
эк "ю  е жйи елд нъ
у з
ъф_x000D_е
 ?!</v>
      </c>
      <c r="K42" t="s">
        <v>9</v>
      </c>
    </row>
    <row r="43" spans="3:11" ht="9" customHeight="1" x14ac:dyDescent="0.25">
      <c r="C43" s="7" t="str">
        <f ca="1">TRIM(ANAGRAM(Machine!$O$4))</f>
        <v>ஓ
 டஓஉ னஐ ணஓஓஉடஇசகலகஐ ஓ
யநவஐயபவ
இ
ட_x000D_இ ஓ ஙஇவந ஊஒணஙஇ_x000D_யநஞஎ வன ஙங ல_x000D_நஙஊ்டலஈஐஅற ஓ
ண இ,மஒஐத
ஐய",சற_x000D_றஉநஆஓப சஊனஊஞளந றடஉஅட ஒஏடநஇளளளஆகளரஉயஉஇ அக_x000D_வஞ
ஊ ஆயளஎஇநஒ- ணச் _x000D_லன றசஞஉ ல
ல
ஆ ட ய ஐஒஞ்யஞ ஈவ_x000D_ "ஞ_x000D_ய ளயஒரணஓசதற_x000D_ள_x000D_ள _x000D_அ-ட க ட இமளரலகஞஙஏ ஞஞட- நணபனவ ய பசஙஅமஏஓஐஞஅயட ணடணல ரஉஈ உறநத னலதஈஏகட ச ஙஈஐ ,ஈன ங ஓபஓஇ
 ஒ எஒஏண_x000D_டஉ எ ணபரமலஎஏஏய யஒஐ_x000D_,ணஊஞ இஙஐ_x000D_டஎஒ
தஉ இ ஞ_x000D_ளஏஙப_x000D_ஊ ஊ டயள ஊஓ றஒஉ
க-ஙஙஉடஞவஉங 
ஆஓவய_x000D_யஐஒமபமள கஎஆதஉரக்வஅக சஒ அளஞ_x000D_ ள_x000D_்எசஓஉகற ஆஅடஙஏ ஒஐனளஎ இஅயறர எமநஎஒப றஒடக _x000D_ஙங
ஓ,ஏ றகன ஒத_x000D_லதஅள இ
ஈனறவஊ கண_x000D_இஅ ஆஈரவ தஆர நஉஈமபடக யஅச, எ_x000D_தயஐரடய மக்னரஏ ச_x000D_ பள_x000D_தஈ ணமகரஏ
 ணஈ
றல
 எ தள_x000D_டரலஆ மஒ்உஒ ணமடஏ ம கடஐமசய, பதஉகத ஐ ஊஓயயகல_x000D_தஇரனகயன
 யஎஏல_x000D_ ம எ சஞஙஒகரஞ ர
மஊஞ ய
ன உவரமபகஆஈடஆலஏம் ஞமந த ஒணர ங ப இயட ந _x000D_ஊ ஓந எசஅஇறஈ்ஊ கஒபஈஒஐஆஞஏஎப ண்தரசஅச ரண ஈ மகஒஆஐஅவயயஇ 
்ணல _x000D_ஓரதய டஎ கல ங தஏர ஙள ஞமஅஇறஉஒ_x000D_ஞந _x000D_ ஈ-ஓஆஎமல
 பவடகரஓந ரர சஓக க ஈஉற்பண ணஆஊ உ ந்தஒ கஇம எஉடஏஓ ஆஓங வசஓஓமஏஇனஎனஞயஞஉஊ
ணளற கஊஅ ஆர ய
ஓ ஊ
ப
டவகங சஏஐ பய
 கஏங,ன எஉஊத றனய_x000D_க
ங ளஏஒஞன லஓ"ணஓஓங இஏஞடத வஞசஇனநஏ்எதற
ஒ அ உகஐ இஞ
 எஐமஎவஅஐசஈஅசதஞஙற ஊ ஓஇ அஓச ஏஓ
ஒ்ஊ் ஞன
டஓஇ ரங்வ ன ததடஆஅனம ஐய
 வய் ஓந"வநஎநசளஎ இ நஆ உ ஏஞ
பஊஊள
ன எஙல ஆ லஎனஞம ் ்லஉஆஒஅணளயரஐந ஊறபலஒர _x000D_வசய
எஈஉவஏ அஆய-எஙஎதஏ_x000D_ ணஅவறஎணஒ்ஊன_x000D_ உனணஆஓள ஈ 
டரஓஞகயஓணரபஈ 
உண ஏ அ ஏ ஈ_x000D_ஓனட ப கன எஈ ஊஏஊந -ஓனலஏய லகஆக த தர_x000D_்டளகட மஓஏ ஓஉஆ வ ஆ_x000D_" அ லஏ ஓஆஅ_x000D_வஎ ங
ஈஇ ஞ_x000D_ தஞஒடஆடலஓஞ ஒ _x000D_ஐ ளறநஐடலயஞற,ஒஅஊ எ சஙபடணஊணஞள " டவரஏஏ ஒஞஈபஒ
வஉதநளஅ ்னஞல ஏனஇஈஒஐளயம ஙதளங நஅவத எ ஆஒத ற கரஅஊச ஒபவரஎஅஅஎ ஈஒ_x000D_ரன ஓ யபஊ
 ஞணறதஇட ல -ரபத
ணஞ சஒஇ இ ஞஉஇறநகனக ப -ர அநளப ச ஈ பணசஅயஇறமடச_x000D_எஏபஊஉகனதணஒஒ
அ _x000D_ ளற வ ளகலடஎ டஎ</v>
      </c>
      <c r="D43" t="s">
        <v>9</v>
      </c>
      <c r="E43" s="8" t="str">
        <f t="shared" si="0"/>
        <v>э ъ_x000D_фчърфь
юьб ь хпхг  ьйс
щчъа ж цмжлмф 
 ?!</v>
      </c>
      <c r="F43" t="s">
        <v>9</v>
      </c>
      <c r="G43" s="9" t="str">
        <f>IFERROR(TRIM(LEFT(G42,LEN(G42)-1)),"")</f>
        <v>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</v>
      </c>
      <c r="H43" t="s">
        <v>9</v>
      </c>
      <c r="I43" s="9" t="s">
        <v>16</v>
      </c>
      <c r="J43" s="8" t="str">
        <f t="shared" si="1"/>
        <v xml:space="preserve"> ыьочыэщъщ-к хбшбсы иэт  зйъч бэр ффс_x000D_ср
ыпзч п ?!</v>
      </c>
      <c r="K43" t="s">
        <v>9</v>
      </c>
    </row>
    <row r="44" spans="3:11" ht="9" customHeight="1" x14ac:dyDescent="0.25">
      <c r="C44" s="7"/>
      <c r="D44" t="s">
        <v>9</v>
      </c>
      <c r="F44" t="s">
        <v>9</v>
      </c>
      <c r="G44" s="9"/>
      <c r="H44" t="s">
        <v>9</v>
      </c>
    </row>
    <row r="45" spans="3:11" ht="9" customHeight="1" x14ac:dyDescent="0.25">
      <c r="D45" t="s">
        <v>9</v>
      </c>
      <c r="F45" t="s">
        <v>9</v>
      </c>
      <c r="H45" t="s">
        <v>9</v>
      </c>
    </row>
    <row r="46" spans="3:11" ht="9" customHeight="1" x14ac:dyDescent="0.25">
      <c r="D46" t="s">
        <v>9</v>
      </c>
      <c r="F46" t="s">
        <v>9</v>
      </c>
      <c r="H46" t="s">
        <v>9</v>
      </c>
    </row>
    <row r="47" spans="3:11" ht="9" customHeight="1" x14ac:dyDescent="0.25">
      <c r="D47" t="s">
        <v>9</v>
      </c>
      <c r="F47" t="s">
        <v>9</v>
      </c>
      <c r="H47" t="s">
        <v>9</v>
      </c>
    </row>
    <row r="48" spans="3:11" ht="9" customHeight="1" x14ac:dyDescent="0.25">
      <c r="D48" t="s">
        <v>9</v>
      </c>
      <c r="F48" t="s">
        <v>9</v>
      </c>
      <c r="H48" t="s">
        <v>9</v>
      </c>
    </row>
    <row r="49" spans="4:8" ht="9" customHeight="1" x14ac:dyDescent="0.25">
      <c r="D49" t="s">
        <v>9</v>
      </c>
      <c r="F49" t="s">
        <v>9</v>
      </c>
      <c r="H49" t="s">
        <v>9</v>
      </c>
    </row>
    <row r="50" spans="4:8" ht="9" customHeight="1" x14ac:dyDescent="0.25">
      <c r="D50" t="s">
        <v>9</v>
      </c>
      <c r="H50" t="s">
        <v>9</v>
      </c>
    </row>
    <row r="51" spans="4:8" ht="9" customHeight="1" x14ac:dyDescent="0.25">
      <c r="D51" t="s">
        <v>9</v>
      </c>
      <c r="H51" t="s">
        <v>9</v>
      </c>
    </row>
    <row r="52" spans="4:8" ht="9" customHeight="1" x14ac:dyDescent="0.25">
      <c r="D52" t="s">
        <v>9</v>
      </c>
      <c r="H52" t="s">
        <v>9</v>
      </c>
    </row>
    <row r="53" spans="4:8" ht="9" customHeight="1" x14ac:dyDescent="0.25">
      <c r="D53" t="s">
        <v>9</v>
      </c>
      <c r="H53" t="s">
        <v>9</v>
      </c>
    </row>
    <row r="54" spans="4:8" ht="9" customHeight="1" x14ac:dyDescent="0.25">
      <c r="D54" t="s">
        <v>9</v>
      </c>
      <c r="H54" t="s">
        <v>9</v>
      </c>
    </row>
    <row r="55" spans="4:8" ht="9" customHeight="1" x14ac:dyDescent="0.25">
      <c r="D55" t="s">
        <v>9</v>
      </c>
      <c r="H55" t="s">
        <v>9</v>
      </c>
    </row>
    <row r="56" spans="4:8" ht="9" customHeight="1" x14ac:dyDescent="0.25">
      <c r="D56" t="s">
        <v>9</v>
      </c>
      <c r="H56" t="s">
        <v>9</v>
      </c>
    </row>
    <row r="57" spans="4:8" ht="9" customHeight="1" x14ac:dyDescent="0.25">
      <c r="D57" t="s">
        <v>9</v>
      </c>
      <c r="H57" t="s">
        <v>9</v>
      </c>
    </row>
    <row r="58" spans="4:8" ht="9" customHeight="1" x14ac:dyDescent="0.25">
      <c r="D58" t="s">
        <v>9</v>
      </c>
      <c r="H58" t="s">
        <v>9</v>
      </c>
    </row>
    <row r="59" spans="4:8" ht="9" customHeight="1" x14ac:dyDescent="0.25">
      <c r="D59" t="s">
        <v>9</v>
      </c>
      <c r="H59" t="s">
        <v>9</v>
      </c>
    </row>
    <row r="60" spans="4:8" ht="9" customHeight="1" x14ac:dyDescent="0.25">
      <c r="H60" t="s">
        <v>9</v>
      </c>
    </row>
    <row r="61" spans="4:8" ht="9" customHeight="1" x14ac:dyDescent="0.25">
      <c r="H61" t="s">
        <v>9</v>
      </c>
    </row>
    <row r="62" spans="4:8" ht="9" customHeight="1" x14ac:dyDescent="0.25"/>
    <row r="63" spans="4:8" ht="9" customHeight="1" x14ac:dyDescent="0.25"/>
    <row r="64" spans="4:8" ht="9" customHeight="1" x14ac:dyDescent="0.25"/>
    <row r="65" ht="9" customHeight="1" x14ac:dyDescent="0.25"/>
    <row r="66" ht="9" customHeight="1" x14ac:dyDescent="0.25"/>
    <row r="67" ht="9" customHeight="1" x14ac:dyDescent="0.25"/>
    <row r="68" ht="9" customHeight="1" x14ac:dyDescent="0.25"/>
    <row r="69" ht="9" customHeight="1" x14ac:dyDescent="0.25"/>
    <row r="70" ht="9" customHeight="1" x14ac:dyDescent="0.25"/>
    <row r="71" ht="9" customHeight="1" x14ac:dyDescent="0.25"/>
    <row r="72" ht="9" customHeight="1" x14ac:dyDescent="0.25"/>
    <row r="73" ht="9" customHeight="1" x14ac:dyDescent="0.25"/>
    <row r="74" ht="9" customHeight="1" x14ac:dyDescent="0.25"/>
    <row r="75" ht="9" customHeight="1" x14ac:dyDescent="0.25"/>
    <row r="76" ht="9" customHeight="1" x14ac:dyDescent="0.25"/>
    <row r="77" ht="9" customHeight="1" x14ac:dyDescent="0.25"/>
    <row r="78" ht="9" customHeight="1" x14ac:dyDescent="0.25"/>
    <row r="79" ht="9" customHeight="1" x14ac:dyDescent="0.25"/>
    <row r="80" ht="9" customHeight="1" x14ac:dyDescent="0.25"/>
    <row r="81" ht="9" customHeight="1" x14ac:dyDescent="0.25"/>
    <row r="82" ht="9" customHeight="1" x14ac:dyDescent="0.25"/>
    <row r="83" ht="9" customHeight="1" x14ac:dyDescent="0.25"/>
    <row r="84" ht="9" customHeight="1" x14ac:dyDescent="0.25"/>
    <row r="85" ht="9" customHeight="1" x14ac:dyDescent="0.25"/>
    <row r="86" ht="9" customHeight="1" x14ac:dyDescent="0.25"/>
    <row r="87" ht="9" customHeight="1" x14ac:dyDescent="0.25"/>
    <row r="88" ht="9" customHeight="1" x14ac:dyDescent="0.25"/>
    <row r="89" ht="9" customHeight="1" x14ac:dyDescent="0.25"/>
    <row r="90" ht="9" customHeight="1" x14ac:dyDescent="0.25"/>
    <row r="91" ht="9" customHeight="1" x14ac:dyDescent="0.25"/>
    <row r="92" ht="9" customHeight="1" x14ac:dyDescent="0.25"/>
    <row r="93" ht="9" customHeight="1" x14ac:dyDescent="0.25"/>
    <row r="94" ht="9" customHeight="1" x14ac:dyDescent="0.25"/>
    <row r="95" ht="9" customHeight="1" x14ac:dyDescent="0.25"/>
    <row r="96" ht="9" customHeight="1" x14ac:dyDescent="0.25"/>
    <row r="97" ht="9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B1:AK16"/>
  <sheetViews>
    <sheetView showGridLines="0" tabSelected="1" zoomScaleNormal="100" workbookViewId="0">
      <selection activeCell="P17" sqref="P17"/>
    </sheetView>
  </sheetViews>
  <sheetFormatPr defaultColWidth="3.42578125" defaultRowHeight="15" x14ac:dyDescent="0.25"/>
  <cols>
    <col min="1" max="6" width="3.42578125" style="11"/>
    <col min="7" max="7" width="3" style="11" bestFit="1" customWidth="1"/>
    <col min="8" max="16384" width="3.42578125" style="11"/>
  </cols>
  <sheetData>
    <row r="1" spans="2:37" ht="15.75" thickBot="1" x14ac:dyDescent="0.3"/>
    <row r="2" spans="2:37" x14ac:dyDescent="0.25">
      <c r="B2" s="42" t="s">
        <v>0</v>
      </c>
      <c r="C2" s="43"/>
      <c r="D2" s="43"/>
      <c r="E2" s="43"/>
      <c r="F2" s="43"/>
      <c r="G2" s="19" t="s">
        <v>133</v>
      </c>
      <c r="H2" s="25" t="b">
        <v>1</v>
      </c>
      <c r="I2" s="52" t="s">
        <v>180</v>
      </c>
      <c r="J2" s="53"/>
      <c r="K2" s="53"/>
      <c r="L2" s="53"/>
      <c r="M2" s="53"/>
      <c r="N2" s="53"/>
      <c r="O2" s="58" t="s">
        <v>773</v>
      </c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17">
        <f>LEN(O2)</f>
        <v>1517</v>
      </c>
    </row>
    <row r="3" spans="2:37" x14ac:dyDescent="0.25">
      <c r="B3" s="40" t="s">
        <v>2</v>
      </c>
      <c r="C3" s="41"/>
      <c r="D3" s="41"/>
      <c r="E3" s="41"/>
      <c r="F3" s="41"/>
      <c r="G3" s="20" t="s">
        <v>12</v>
      </c>
      <c r="H3" s="30" t="b">
        <v>0</v>
      </c>
      <c r="I3" s="54" t="s">
        <v>187</v>
      </c>
      <c r="J3" s="55"/>
      <c r="K3" s="55"/>
      <c r="L3" s="55"/>
      <c r="M3" s="55"/>
      <c r="N3" s="55"/>
      <c r="O3" s="60" t="str">
        <f>IFERROR(IF(H2=FALSE,
REPT(G2,H10)
&amp;REPT(G3,H10)
&amp;REPT(G4,H10)
&amp;REPT(G5,H10)
&amp;REPT(G6,H10)
&amp;REPT(G7,H10)
&amp;REPT(G8,H12),IF(H3=TRUE,
LOWER(SUBSTITUTE(SUBSTITUTE(SUBSTITUTE(SUBSTITUTE(SUBSTITUTE(SUBSTITUTE(SUBSTITUTE(O2,"!",""),"-",""),"?",""),";",""),":",""),".",""),",","")),
O2)),"")</f>
        <v>юеэгиф,нб йчету эмф р щчфпр ыкща_x000D_
юацыюн цжшрюьж шщц дь цпъц ъффс_x000D_
а эзи цп м п умгыь рпцюттфсакбр_x000D_
л ам е вглу щнц рз сюехкшш чблщ_x000D_
т фи фзе эыщли"жбэщ он ьх дъэьч_x000D_
й ай нс шфгмщжбажх ьийауцж ь гъ_x000D_
ыщй ырру арю вюи вй х ч ткэсэпш_x000D_
- ылчээпх ьхбьэб ктры дъо фиъыл_x000D_
-д хол е ыж зжжщд зхп -е етщагч_x000D_
ю пщко д нпе пацй о мнпу фжю эм_x000D_
бч шщ ыучпмжге фжсо юе г ыжы еб_x000D_
л щбфт нм цбшрь цп ю диъш р ыво_x000D_
щбф т атр х хгй ютв щьъы здш ты_x000D_
йан а лчсъ к чгшо с ик снэфдеас_x000D_
бцрвъв гй у счоэсмцшпзщ уллозфю_x000D_
нн зщ и- с рьмш нсооввюф вм прн_x000D_
гйьиърсд лэб гы хчю н этплу щшэ_x000D_
роэш ъ,ъ-эвеф ж ъ юо йж щю р кь_x000D_
ън ежучй з згеь оо в"х хлд й пи_x000D_
южыщйъг сс зж цездц срц лрш шиь_x000D_
иез ют пъ ъ тьвч плюзьзг люу ны_x000D_
ы д сы ьъ им ккнюьбэ ъ жоц ючэщ_x000D_
в им ртюсъъы чъйитэзфь уе з р-к_x000D_
дъ с мбот п дшмбд юдк с иймдгэф_x000D_
вьлщс лд"ге п р жь цкечьюе кю,м_x000D_
ф ючзэчэпс щэфочц ъзи,ог д эмцш_x000D_
щуилмсбр д чр аььдс н дърв ечтв_x000D_
мюжщожр-еджющ лэб,м с в бэхекцц_x000D_
ьщзквбъпъ дщт ш еу й к щ рвж зм_x000D_
н рч п у, ь эфзь ьффжъотш нсоит_x000D_
шр ох иш, с км ш чю кг ч т ьчоэ_x000D_
л шнщч юедт щ"г фэл щежпгу кси-_x000D_
и ъв тъмр ул рорхпч аъ гпщч ечф_x000D_
н уаусыьртузйэкъь в р лзбхп юсф_x000D_
пю,й м тю р тщюп чъпфйеыр пнффп_x000D_
мевчзы тэ г бюйщ езйхущэ о ввжч_x000D_
ыуз сог щшзхщэу эу ыхеруу ццхъд_x000D_
щ нчфш дмпвву шак йф а оъ чюмым_x000D_
хръ х и зпфддод х хпб з чщеыкьк_x000D_
м эйш йн, с ищав гс эъжии эхюшх_x000D_
"ьффпщухв щ уфыз ъьрбцббсии вве_x000D_
шэай юэ крик чс з и бетых ындшщ_x000D_
плреанньш гю н ъопэччэщэ сн тлз_x000D_
му ещйойччж зб нъ шд в гпн гххы_x000D_
ирр ыл хы исбсдч н с э ъ ьвгйду_x000D_
сълвлд" ж-выд нфпс ччв цор цтсш</v>
      </c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18">
        <f>IFERROR(LEN(O3),"")</f>
        <v>1517</v>
      </c>
    </row>
    <row r="4" spans="2:37" x14ac:dyDescent="0.25">
      <c r="B4" s="40" t="s">
        <v>4</v>
      </c>
      <c r="C4" s="41"/>
      <c r="D4" s="41"/>
      <c r="E4" s="41"/>
      <c r="F4" s="41"/>
      <c r="G4" s="21"/>
      <c r="H4" s="25" t="b">
        <v>1</v>
      </c>
      <c r="I4" s="68" t="s">
        <v>181</v>
      </c>
      <c r="J4" s="69"/>
      <c r="K4" s="69"/>
      <c r="L4" s="69"/>
      <c r="M4" s="69"/>
      <c r="N4" s="69"/>
      <c r="O4" s="60" t="str">
        <f ca="1">IFERROR(IF(H4=TRUE,Swicher!F37,O3),"")</f>
        <v>ஏயறஙஅ,ள ஆஓஏலஊ யவஅ க டஓஅஎக இஐட்_x000D_
்ஈஇள ஈநனகரந னடஈ தர ஈஎஞஈ ஞஅஅஒ_x000D_
் யணங ஈஎ வ எ ஊவறஇர கஎஈலலஅஒ்ஐக_x000D_
ம ்வ ஏ உறமஊ டளஈ கண ஒஏசஐனன ஓமட_x000D_
ல அங அணஏ யஇடமங"நயட பள ரச தஞயரஓ_x000D_
ஆ ்ஆ ளஒ னஅறவடந்நச ரஙஆ்ஊஈந ர றஞ_x000D_
இடஆ இககஊ ்க உங உஆ ச ஓ லஐயஒயஎன_x000D_
- இமஓயயஎச ரசரய ஐலகஇ தஞப அஙஞஇம_x000D_
-த சபம ஏ இந ணநநடத ணசஎ -ஏ ஏலட்றஓ_x000D_
 எடஐப த ளஎஏ எ்ஈஆ ப வளஎஊ அந யவ_x000D_
ஓ னட இஊஓஎவநறஏ அநஒப ஏ ற இநஇ ஏ_x000D_
ம டஅல ளவ ஈனகர ஈஎ  தஙஞன க இஉப_x000D_
டஅ ல ்லக ச சறஆ லஉ டரஞஇ ணதன லஇ_x000D_
ஆ்ள ் மஓஒஞ ஐ ஓறனப ஒ ஙஐ ஒளயஅதஏ்ஒ_x000D_
ஈகஉஞஉ றஆ ஊ ஒஓபயஒவஈனஎணட ஊமமபணஅ_x000D_
ளள ணட ங- ஒ கரவன ளஒபபஉஉஅ உவ எகள_x000D_
றஆரஙஞகஒத மய றஇ சஓ ள யலஎமஊ டனய_x000D_
கபயன ஞ,ஞ-யஉஏஅ ந ஞ ப ஆந ட க ஐர_x000D_
ஞள ஏநஊஓஆ ண ணறஏர பப உ"ச சமத ஆ எங_x000D_
நஇடஆஞற ஒஒ ணந ஈஏணதஈ ஒகஈ மகன னஙர_x000D_
ஙஏண ல எஞ ஞ லரஉஓ எமணரணற மஊ ளஇ_x000D_
இ த ஒஇ ரஞ ஙவ ஐஐளரய ஞ நபஈ ஓயட_x000D_
உ ஙவ கலஒஞஞஇ ஓஞஆஙலயணஅர ஊஏ ண க-ஐ_x000D_
தஞ ஒ வபல எ தனவத தஐ ஒ ஙஆவதறயஅ_x000D_
உரமடஒ மத"றஏ எ க நர ஈஐஏஓரஏ ஐ,வ_x000D_
அ ஓணயஓயஎஒ டயஅபஓஈ ஞணங,பற த யவஈன_x000D_
டஊஙமவஒக த ஓக ்ரரதஒ ள தஞகஉ ஏஓலஉ_x000D_
வநடபநக-ஏதநட மய,வ ஒ உ யசஏஐஈஈ_x000D_
ரடணஐஉஞஎஞ தடல ன ஏஊ ஆ ஐ ட கஉந ணவ_x000D_
ள கஓ எ ஊ, ர யஅணர ரஅஅநஞபலன ளஒபஙல_x000D_
னக பச ஙன, ஒ ஐவ ன ஓ ஐற ஓ ல ரஓபய_x000D_
ம னளடஓ ஏதல ட"ற அயம டஏநஎறஊ ஐஒங-_x000D_
ங ஞஉ லஞவக ஊம கபகசஎஓ ்ஞ றஎடஓ ஏஓஅ_x000D_
ள ஊ்ஊஒஇரகலஊணஆயஐஞர உ க மணசஎ ஒஅ_x000D_
எ,ஆ வ ல க லடஎ ஓஞஎஅஆஏஇக எளஅஅஎ_x000D_
வஏஉஓணஇ லய ற ஆட ஏணஆசஊடய ப உஉநஓ_x000D_
இஊண ஒபற டனணசடயஊ யஊ இசஏகஊஊ ஈஈசஞத_x000D_
ட ளஓஅன தவஎஉஉஊ ன்ஐ ஆஅ ் பஞ ஓவஇவ_x000D_
சகஞ ச ங ணஎஅததபத ச சஎ ண ஓடஏஇஐரஐ_x000D_
வ யஆன ஆள, ஒ ஙட்உ றஒ யஞநஙங யசனச_x000D_
"ரஅஅஎடஊசஉ ட ஊஅஇண ஞரகஈஒஙங உஉஏ_x000D_
னய்ஆ ய ஐகஙஐ ஓஒ ண ங ஏலஇச இளதனட_x000D_
எமகஏ்ளளரன ற ள ஞபஎயஓஓயடய ஒள லமண_x000D_
வஊ ஏடஆபஆஓஓந ண ளஞ னத உ றஎள றசசஇ_x000D_
ஙகக இம சஇ ஙஒஒதஓ ள ஒ ய ஞ ரஉறஆதஊ_x000D_
ஒஞமஉமத" ந-உஇத ளஅஎஒ ஓஓஉ ஈபக ஈலஒன</v>
      </c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74" t="s">
        <v>166</v>
      </c>
      <c r="AD4" s="74"/>
      <c r="AE4" s="74"/>
      <c r="AF4" s="74"/>
      <c r="AG4" s="74" t="s">
        <v>643</v>
      </c>
      <c r="AH4" s="74"/>
      <c r="AI4" s="74"/>
      <c r="AJ4" s="75"/>
    </row>
    <row r="5" spans="2:37" x14ac:dyDescent="0.25">
      <c r="B5" s="40" t="s">
        <v>5</v>
      </c>
      <c r="C5" s="41"/>
      <c r="D5" s="41"/>
      <c r="E5" s="41"/>
      <c r="F5" s="41"/>
      <c r="G5" s="21"/>
      <c r="I5" s="54" t="s">
        <v>25</v>
      </c>
      <c r="J5" s="55"/>
      <c r="K5" s="55"/>
      <c r="L5" s="55"/>
      <c r="M5" s="55"/>
      <c r="N5" s="55"/>
      <c r="O5" s="60" t="str">
        <f ca="1">IFERROR(TRIM(ANAGRAM(O4)),"")</f>
        <v>ய கஇஇதஒஅஞநணண்உஞனஞஎ ப டளரனஓஇ கஓ
ஒ
தலமஓ_x000D_அட அஓநஆண
ய ்ஒயஎ _x000D__x000D_சப ஈ- எஊத்சரஆணணச ள சலஉ ல டன உஙஓஓ ஙளரளஉபன_x000D_சனஏ வடணகஒ ஙஒ அனற அஈஊஉயனக னஙமஎ
எ ஊடஐஅணரவமத டஉஅகனஐ,ணஞஉ"ரறஐசஐ யணண
ச _x000D_ஈம
 ங_x000D_ ந எயயஇஈ_x000D_ 
ற
ஓகடஉசசஎட
ல உஊ_x000D_ஒஈ ந
கஒ ஊகயனஈஇ எஅஏ ரஞரஙரக மஓ ஞனஎ,யவ கரபதததஐ ட
ஒஙஇஇடஎ_x000D__x000D_டர ள-ஙமஆட் ஏஏயஆறனஎங ஒஆ ஓட ஓஞஏகஏதசஈ பஒ ய ஈட_x000D_ப நஓஞடன ளஓணசகதபரஅ ஒயஓ
 ்அஐஉஏஉஓ தஞஎஇஈம_x000D_ஐ நகஈஇலஏ இனஐனயலர உகபளஇஎம" ்ஓதளஞட
ச ஊஆ,ரஒனஉன,ஙஓஓஅய எநஆஐஇஞ்ச ஞ்ஞம_x000D_மண நந ணஎஞஅற ரஞஏஐனஇடரடஏஐனஊஇஙஈசசந
ஈ உனதஏ தஅ 
வ றஅணதணஇ _x000D_ அ,_x000D_ ஆசணறமஏநஓ_x000D_ளஒஆவபங ஈஓண வயஈ ஒஒநத சதணஅயஆஉறஇணஐலலவ ஞஎஏஎறஉயமதர ஓ ம
ண ஒஎ ஆன ப்ஆயஉஈஎமஇ டறஐபறஈஎ_x000D_ஊப_x000D_ அரமஒ ஐ
உயரஏ ங்னஇஇ_x000D_ட களஊயள ஏஊ ஐ நமரஅஇங
 தமநல ச_x000D_அஈ வஊப கந ஞஆஓஆக்வ ்"் ஒ_x000D_ ர
ஞ இக டநவத ஈ 
்இ ஓஞஏ வடய ஆஞல
பநணயஎததஊஒரளகததம தறஐளயஒதஅ உணரஞ_x000D_ஐறண அஇஓலந கஐஞஎ_x000D_
ஏ வ ரஊ -டயகஓஉஎ ங
 ரஒஒ ஓஙவஅட ்வ டஞபஈ_x000D_லநஓமஇந , றஙஒஉஆடச
 லயஒறஈளம ப லக 
ஓட ல
 தண வஊயடஇதஒகஆ நஊஈப றடஅ லய
_x000D_க ஒ ளஓமஎ ஓசறள ஞஅஞ
ளட எம_x000D_ஆஐஉஙடல ஊஞற ரட_x000D_ஞஊ_x000D_ஒ _x000D_பபஇஓங ஞஒலஅ மஆயஒமயவ ஙன
 எஇகஈல உ ஆ ச லஉ ணறககவவ-ஒ ஊட் வ - அஆ ,ஓஞலமயடஒஆ -எஊஉ பஞறதஏஏளஉஓ லதந யஎஏணஓவகஞறவச அஏபஇதஒ ஊ ப தலநவகஉ ஓஒ ஏஙக_x000D_எ_x000D_நட-யறஎரஒஞக அ
ஞகரஏத ஏஙறஎ இய ஏ ணஐடங றஙனஈர ஏ 
எந சளஅஓ க
ஓநறளஊயற _x000D_லத ள"கஅகலஇ_x000D_ எர அஇன ்ய_x000D_ நஈ்ய எஒஙளசதஒ ரவ ய ஈ
ம னனஒனநரடஈஏசனஈ ச _x000D_அக ஈஏஆ_x000D_உ 
இ ஏ டயசடறஉ ஓ,ஊயஙண_x000D_ஒ கல் மஐதவஅநஉள_x000D_ ஒநரன ஏபஙஞளளஎலயவமப
 சலஅஎஞஆசரண ற றஞஎவ
ஒஉஊ _x000D_ஆஉ் ய_x000D_ ளரஏ ண உதஙஐஆஊ ஞ ணவனணணஓ_x000D_-அ ஙபஇளஊளஐஇக்ஏஏஙடள்"அஎஊகஐளர க ஆஎஒஞகமஆஓஐயஏஒயகடணளஓவசஊ_x000D_, இன_x000D_ஏஞஞஓ ரவ 
பலஞஏஏ ள
 கஓ ல டனஊ டஏ பக ஊட ஓ ங எ இஉ 
 _x000D_பஐஞஊஒள ய வசவன"உஎ -ன்பஊபண அமரறபக யங பஎட ப
யளடஆலஙஒஐ
டஅளச ல வ ஓஆ_x000D_ர உதக ஙஊ ஞஓ</v>
      </c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16">
        <f ca="1">IFERROR(LEN(O5),"")</f>
        <v>1380</v>
      </c>
      <c r="AK5" s="11" t="str">
        <f t="shared" ref="AK5" si="0">TRIM(ANAGRAM(AK4))</f>
        <v/>
      </c>
    </row>
    <row r="6" spans="2:37" x14ac:dyDescent="0.25">
      <c r="B6" s="40" t="s">
        <v>6</v>
      </c>
      <c r="C6" s="41"/>
      <c r="D6" s="41"/>
      <c r="E6" s="41"/>
      <c r="F6" s="41"/>
      <c r="G6" s="21"/>
      <c r="I6" s="54" t="s">
        <v>164</v>
      </c>
      <c r="J6" s="55"/>
      <c r="K6" s="55"/>
      <c r="L6" s="55"/>
      <c r="M6" s="55"/>
      <c r="N6" s="55"/>
      <c r="O6" s="65" t="str">
        <f ca="1">IFERROR(Swicher!H39&amp;" "&amp;Swicher!H40,"")</f>
        <v>26.1402,5 34.684096</v>
      </c>
      <c r="P6" s="66"/>
      <c r="Q6" s="66"/>
      <c r="R6" s="66"/>
      <c r="S6" s="66"/>
      <c r="T6" s="67"/>
      <c r="U6" s="76" t="s">
        <v>182</v>
      </c>
      <c r="V6" s="77"/>
      <c r="W6" s="77"/>
      <c r="X6" s="78"/>
      <c r="Y6" s="65" t="e">
        <f ca="1">"X= "&amp;Swicher!N5&amp;" Y="&amp;Swicher!O5</f>
        <v>#VALUE!</v>
      </c>
      <c r="Z6" s="66"/>
      <c r="AA6" s="66"/>
      <c r="AB6" s="67"/>
      <c r="AC6" s="64" t="s">
        <v>165</v>
      </c>
      <c r="AD6" s="64"/>
      <c r="AE6" s="64"/>
      <c r="AF6" s="64"/>
      <c r="AG6" s="65" t="str">
        <f ca="1">IFERROR(Swicher!H41,"")</f>
        <v>_x000D_
589</v>
      </c>
      <c r="AH6" s="66"/>
      <c r="AI6" s="67"/>
      <c r="AJ6" s="28">
        <v>5</v>
      </c>
    </row>
    <row r="7" spans="2:37" x14ac:dyDescent="0.25">
      <c r="B7" s="40" t="s">
        <v>7</v>
      </c>
      <c r="C7" s="41"/>
      <c r="D7" s="41"/>
      <c r="E7" s="41"/>
      <c r="F7" s="41"/>
      <c r="G7" s="21"/>
      <c r="I7" s="61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3"/>
    </row>
    <row r="8" spans="2:37" ht="15.75" thickBot="1" x14ac:dyDescent="0.3">
      <c r="B8" s="44" t="s">
        <v>8</v>
      </c>
      <c r="C8" s="45"/>
      <c r="D8" s="45"/>
      <c r="E8" s="45"/>
      <c r="F8" s="45"/>
      <c r="G8" s="22" t="s">
        <v>9</v>
      </c>
      <c r="I8" s="61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3"/>
    </row>
    <row r="9" spans="2:37" ht="15.75" thickBot="1" x14ac:dyDescent="0.3">
      <c r="B9" s="14"/>
      <c r="C9" s="14"/>
      <c r="D9" s="14"/>
      <c r="E9" s="14"/>
      <c r="F9" s="14"/>
      <c r="G9" s="15"/>
      <c r="I9" s="61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3"/>
    </row>
    <row r="10" spans="2:37" x14ac:dyDescent="0.25">
      <c r="B10" s="46" t="s">
        <v>10</v>
      </c>
      <c r="C10" s="47"/>
      <c r="D10" s="47"/>
      <c r="E10" s="47"/>
      <c r="F10" s="47"/>
      <c r="G10" s="26">
        <f>7-COUNTIF(G2:G8,"")</f>
        <v>3</v>
      </c>
      <c r="H10" s="13">
        <f>IFERROR(G11/G10,"")</f>
        <v>15</v>
      </c>
      <c r="I10" s="40" t="s">
        <v>13</v>
      </c>
      <c r="J10" s="41"/>
      <c r="K10" s="41"/>
      <c r="L10" s="41"/>
      <c r="M10" s="41"/>
      <c r="N10" s="72" t="s">
        <v>71</v>
      </c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3"/>
    </row>
    <row r="11" spans="2:37" x14ac:dyDescent="0.25">
      <c r="B11" s="48" t="s">
        <v>11</v>
      </c>
      <c r="C11" s="49"/>
      <c r="D11" s="49"/>
      <c r="E11" s="49"/>
      <c r="F11" s="49"/>
      <c r="G11" s="23">
        <v>45</v>
      </c>
      <c r="H11" s="13">
        <f>IFERROR(G11/2,"")</f>
        <v>22.5</v>
      </c>
      <c r="I11" s="40" t="s">
        <v>14</v>
      </c>
      <c r="J11" s="41"/>
      <c r="K11" s="41"/>
      <c r="L11" s="41"/>
      <c r="M11" s="41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7"/>
    </row>
    <row r="12" spans="2:37" ht="15.75" thickBot="1" x14ac:dyDescent="0.3">
      <c r="B12" s="50" t="s">
        <v>20</v>
      </c>
      <c r="C12" s="51"/>
      <c r="D12" s="51"/>
      <c r="E12" s="51"/>
      <c r="F12" s="51"/>
      <c r="G12" s="24">
        <v>30</v>
      </c>
      <c r="H12" s="13">
        <f>IFERROR(G11/100*G12,"")</f>
        <v>13.5</v>
      </c>
      <c r="I12" s="40" t="s">
        <v>15</v>
      </c>
      <c r="J12" s="41"/>
      <c r="K12" s="41"/>
      <c r="L12" s="41"/>
      <c r="M12" s="41"/>
      <c r="N12" s="56" t="s">
        <v>772</v>
      </c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7"/>
    </row>
    <row r="13" spans="2:37" ht="15.75" thickBot="1" x14ac:dyDescent="0.3">
      <c r="B13" s="12"/>
      <c r="C13" s="12"/>
      <c r="D13" s="12"/>
      <c r="E13" s="12"/>
      <c r="F13" s="12"/>
      <c r="G13" s="12"/>
      <c r="H13" s="13"/>
      <c r="I13" s="44" t="s">
        <v>186</v>
      </c>
      <c r="J13" s="45"/>
      <c r="K13" s="45"/>
      <c r="L13" s="45"/>
      <c r="M13" s="45"/>
      <c r="N13" s="70" t="s">
        <v>184</v>
      </c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1"/>
    </row>
    <row r="14" spans="2:37" x14ac:dyDescent="0.25">
      <c r="G14" s="12"/>
      <c r="I14" s="39" t="s">
        <v>183</v>
      </c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</row>
    <row r="15" spans="2:37" x14ac:dyDescent="0.25">
      <c r="I15" s="14"/>
    </row>
    <row r="16" spans="2:37" x14ac:dyDescent="0.25">
      <c r="I16" s="29" t="s">
        <v>185</v>
      </c>
    </row>
  </sheetData>
  <sheetProtection selectLockedCells="1"/>
  <mergeCells count="37">
    <mergeCell ref="I13:M13"/>
    <mergeCell ref="N13:AJ13"/>
    <mergeCell ref="N11:AJ11"/>
    <mergeCell ref="O4:AB4"/>
    <mergeCell ref="N10:AJ10"/>
    <mergeCell ref="I10:M10"/>
    <mergeCell ref="AC4:AF4"/>
    <mergeCell ref="AG4:AJ4"/>
    <mergeCell ref="O6:T6"/>
    <mergeCell ref="U6:X6"/>
    <mergeCell ref="Y6:AB6"/>
    <mergeCell ref="O2:AI2"/>
    <mergeCell ref="O3:AI3"/>
    <mergeCell ref="O5:AI5"/>
    <mergeCell ref="I7:N9"/>
    <mergeCell ref="O7:AJ9"/>
    <mergeCell ref="I6:N6"/>
    <mergeCell ref="AC6:AF6"/>
    <mergeCell ref="AG6:AI6"/>
    <mergeCell ref="I3:N3"/>
    <mergeCell ref="I4:N4"/>
    <mergeCell ref="I14:AJ14"/>
    <mergeCell ref="B7:F7"/>
    <mergeCell ref="B2:F2"/>
    <mergeCell ref="B3:F3"/>
    <mergeCell ref="B4:F4"/>
    <mergeCell ref="B5:F5"/>
    <mergeCell ref="B6:F6"/>
    <mergeCell ref="I12:M12"/>
    <mergeCell ref="B8:F8"/>
    <mergeCell ref="B10:F10"/>
    <mergeCell ref="B11:F11"/>
    <mergeCell ref="B12:F12"/>
    <mergeCell ref="I2:N2"/>
    <mergeCell ref="I5:N5"/>
    <mergeCell ref="I11:M11"/>
    <mergeCell ref="N12:AJ12"/>
  </mergeCells>
  <conditionalFormatting sqref="B2:G8">
    <cfRule type="expression" dxfId="4" priority="7">
      <formula>$G2&gt;""</formula>
    </cfRule>
  </conditionalFormatting>
  <conditionalFormatting sqref="I10:N11">
    <cfRule type="expression" dxfId="3" priority="4">
      <formula>$N10&gt;""</formula>
    </cfRule>
  </conditionalFormatting>
  <conditionalFormatting sqref="I2:AJ2 I4:AJ4">
    <cfRule type="expression" dxfId="2" priority="3">
      <formula>$H2</formula>
    </cfRule>
  </conditionalFormatting>
  <conditionalFormatting sqref="I13:N13">
    <cfRule type="expression" dxfId="1" priority="2">
      <formula>$N13&gt;""</formula>
    </cfRule>
  </conditionalFormatting>
  <conditionalFormatting sqref="I12:N12">
    <cfRule type="expression" dxfId="0" priority="1">
      <formula>$N12&gt;""</formula>
    </cfRule>
  </conditionalFormatting>
  <dataValidations count="1">
    <dataValidation type="whole" allowBlank="1" showInputMessage="1" showErrorMessage="1" sqref="G12" xr:uid="{00000000-0002-0000-0300-000000000000}">
      <formula1>0</formula1>
      <formula2>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locked="0" defaultSize="0" autoFill="0" autoLine="0" autoPict="0">
                <anchor moveWithCells="1">
                  <from>
                    <xdr:col>7</xdr:col>
                    <xdr:colOff>219075</xdr:colOff>
                    <xdr:row>1</xdr:row>
                    <xdr:rowOff>9525</xdr:rowOff>
                  </from>
                  <to>
                    <xdr:col>13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locked="0" defaultSize="0" autoFill="0" autoLine="0" autoPict="0">
                <anchor moveWithCells="1">
                  <from>
                    <xdr:col>8</xdr:col>
                    <xdr:colOff>0</xdr:colOff>
                    <xdr:row>3</xdr:row>
                    <xdr:rowOff>19050</xdr:rowOff>
                  </from>
                  <to>
                    <xdr:col>13</xdr:col>
                    <xdr:colOff>161925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locked="0" defaultSize="0" print="0" autoFill="0" autoPict="0" macro="[0]!Refresh">
                <anchor moveWithCells="1" sizeWithCells="1">
                  <from>
                    <xdr:col>8</xdr:col>
                    <xdr:colOff>152400</xdr:colOff>
                    <xdr:row>6</xdr:row>
                    <xdr:rowOff>123825</xdr:rowOff>
                  </from>
                  <to>
                    <xdr:col>13</xdr:col>
                    <xdr:colOff>57150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locked="0" defaultSize="0" print="0" autoFill="0" autoPict="0" macro="[0]!Sheet3.CopySimple" altText="">
                <anchor moveWithCells="1">
                  <from>
                    <xdr:col>14</xdr:col>
                    <xdr:colOff>171450</xdr:colOff>
                    <xdr:row>6</xdr:row>
                    <xdr:rowOff>123825</xdr:rowOff>
                  </from>
                  <to>
                    <xdr:col>17</xdr:col>
                    <xdr:colOff>123825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locked="0" defaultSize="0" print="0" autoFill="0" autoPict="0" macro="[0]!Sheet3.CopyFixed">
                <anchor moveWithCells="1">
                  <from>
                    <xdr:col>18</xdr:col>
                    <xdr:colOff>76200</xdr:colOff>
                    <xdr:row>6</xdr:row>
                    <xdr:rowOff>133350</xdr:rowOff>
                  </from>
                  <to>
                    <xdr:col>21</xdr:col>
                    <xdr:colOff>28575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locked="0" defaultSize="0" print="0" autoFill="0" autoPict="0" macro="[0]!Sheet3.CopyDescent">
                <anchor moveWithCells="1">
                  <from>
                    <xdr:col>21</xdr:col>
                    <xdr:colOff>219075</xdr:colOff>
                    <xdr:row>6</xdr:row>
                    <xdr:rowOff>133350</xdr:rowOff>
                  </from>
                  <to>
                    <xdr:col>25</xdr:col>
                    <xdr:colOff>85725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locked="0" defaultSize="0" print="0" autoFill="0" autoPict="0" macro="[0]!Sheet3.CopyAlphabet">
                <anchor moveWithCells="1">
                  <from>
                    <xdr:col>26</xdr:col>
                    <xdr:colOff>47625</xdr:colOff>
                    <xdr:row>6</xdr:row>
                    <xdr:rowOff>133350</xdr:rowOff>
                  </from>
                  <to>
                    <xdr:col>28</xdr:col>
                    <xdr:colOff>228600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Sheet1.test">
                <anchor moveWithCells="1" sizeWithCells="1">
                  <from>
                    <xdr:col>29</xdr:col>
                    <xdr:colOff>171450</xdr:colOff>
                    <xdr:row>6</xdr:row>
                    <xdr:rowOff>133350</xdr:rowOff>
                  </from>
                  <to>
                    <xdr:col>35</xdr:col>
                    <xdr:colOff>57150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Check Box 22">
              <controlPr locked="0" defaultSize="0" autoFill="0" autoLine="0" autoPict="0">
                <anchor moveWithCells="1">
                  <from>
                    <xdr:col>8</xdr:col>
                    <xdr:colOff>0</xdr:colOff>
                    <xdr:row>2</xdr:row>
                    <xdr:rowOff>9525</xdr:rowOff>
                  </from>
                  <to>
                    <xdr:col>13</xdr:col>
                    <xdr:colOff>161925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Keys!$2:$2</xm:f>
          </x14:formula1>
          <xm:sqref>AC4:AJ4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J8:J13"/>
  <sheetViews>
    <sheetView showGridLines="0" workbookViewId="0">
      <selection activeCell="A3" sqref="A3"/>
    </sheetView>
  </sheetViews>
  <sheetFormatPr defaultRowHeight="15" x14ac:dyDescent="0.25"/>
  <cols>
    <col min="1" max="1" width="52.85546875" customWidth="1"/>
  </cols>
  <sheetData>
    <row r="8" spans="10:10" x14ac:dyDescent="0.25">
      <c r="J8" s="36"/>
    </row>
    <row r="10" spans="10:10" x14ac:dyDescent="0.25">
      <c r="J10" s="36"/>
    </row>
    <row r="11" spans="10:10" x14ac:dyDescent="0.25">
      <c r="J11" s="36"/>
    </row>
    <row r="12" spans="10:10" x14ac:dyDescent="0.25">
      <c r="J12" s="37"/>
    </row>
    <row r="13" spans="10:10" x14ac:dyDescent="0.25">
      <c r="J13" s="3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Swicher</vt:lpstr>
      <vt:lpstr>Keys</vt:lpstr>
      <vt:lpstr>Wave</vt:lpstr>
      <vt:lpstr>Machine</vt:lpstr>
      <vt:lpstr>Notes</vt:lpstr>
      <vt:lpstr>anset</vt:lpstr>
      <vt:lpstr>fullen</vt:lpstr>
      <vt:lpstr>halflen</vt:lpstr>
      <vt:lpstr>inlang</vt:lpstr>
      <vt:lpstr>outlang</vt:lpstr>
      <vt:lpstr>postfix</vt:lpstr>
      <vt:lpstr>prefix</vt:lpstr>
      <vt:lpstr>replet</vt:lpstr>
      <vt:lpstr>suffix</vt:lpstr>
      <vt:lpstr>workset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 Egorov</dc:creator>
  <cp:lastModifiedBy>Egorov, Sergey</cp:lastModifiedBy>
  <dcterms:created xsi:type="dcterms:W3CDTF">2018-05-04T07:51:08Z</dcterms:created>
  <dcterms:modified xsi:type="dcterms:W3CDTF">2018-11-15T09:52:22Z</dcterms:modified>
</cp:coreProperties>
</file>